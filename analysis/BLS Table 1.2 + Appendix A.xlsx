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/>
  <xr:revisionPtr revIDLastSave="0" documentId="8_{5AF51B4F-6692-4E22-8827-D3302C0B9F82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bl 1.2" sheetId="1" r:id="rId1"/>
    <sheet name="Education Analysis" sheetId="4" r:id="rId2"/>
    <sheet name="Wage Analysis" sheetId="5" r:id="rId3"/>
    <sheet name="Avg AIOE by SOC Category" sheetId="3" r:id="rId4"/>
    <sheet name="AIOE Appendix A" sheetId="2" r:id="rId5"/>
  </sheets>
  <definedNames>
    <definedName name="_xlnm._FilterDatabase" localSheetId="0" hidden="1">'Tbl 1.2'!$A$1:$P$833</definedName>
  </definedNames>
  <calcPr calcId="191028"/>
  <pivotCaches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5" l="1"/>
  <c r="C5" i="5"/>
  <c r="E3" i="5"/>
  <c r="E4" i="5"/>
  <c r="E5" i="5"/>
  <c r="E2" i="5"/>
  <c r="O3" i="1" a="1"/>
  <c r="O3" i="1"/>
  <c r="O4" i="1" a="1"/>
  <c r="O4" i="1"/>
  <c r="O5" i="1" a="1"/>
  <c r="O5" i="1"/>
  <c r="O6" i="1" a="1"/>
  <c r="O6" i="1"/>
  <c r="O7" i="1" a="1"/>
  <c r="O7" i="1"/>
  <c r="O8" i="1" a="1"/>
  <c r="O8" i="1"/>
  <c r="O9" i="1" a="1"/>
  <c r="O9" i="1"/>
  <c r="O10" i="1" a="1"/>
  <c r="O10" i="1"/>
  <c r="O11" i="1" a="1"/>
  <c r="O11" i="1"/>
  <c r="O12" i="1" a="1"/>
  <c r="O12" i="1"/>
  <c r="O13" i="1" a="1"/>
  <c r="O13" i="1"/>
  <c r="O14" i="1" a="1"/>
  <c r="O14" i="1"/>
  <c r="O15" i="1" a="1"/>
  <c r="O15" i="1"/>
  <c r="O16" i="1" a="1"/>
  <c r="O16" i="1"/>
  <c r="O17" i="1" a="1"/>
  <c r="O17" i="1"/>
  <c r="O18" i="1" a="1"/>
  <c r="O18" i="1"/>
  <c r="O19" i="1" a="1"/>
  <c r="O19" i="1"/>
  <c r="O20" i="1" a="1"/>
  <c r="O20" i="1"/>
  <c r="O21" i="1" a="1"/>
  <c r="O21" i="1"/>
  <c r="O22" i="1" a="1"/>
  <c r="O22" i="1"/>
  <c r="O23" i="1" a="1"/>
  <c r="O23" i="1"/>
  <c r="O24" i="1" a="1"/>
  <c r="O24" i="1"/>
  <c r="O25" i="1" a="1"/>
  <c r="O25" i="1"/>
  <c r="O26" i="1" a="1"/>
  <c r="O26" i="1"/>
  <c r="O27" i="1" a="1"/>
  <c r="O27" i="1"/>
  <c r="O28" i="1" a="1"/>
  <c r="O28" i="1"/>
  <c r="O29" i="1" a="1"/>
  <c r="O29" i="1"/>
  <c r="O30" i="1" a="1"/>
  <c r="O30" i="1"/>
  <c r="O31" i="1" a="1"/>
  <c r="O31" i="1"/>
  <c r="O32" i="1" a="1"/>
  <c r="O32" i="1"/>
  <c r="O33" i="1" a="1"/>
  <c r="O33" i="1"/>
  <c r="O34" i="1" a="1"/>
  <c r="O34" i="1"/>
  <c r="O35" i="1" a="1"/>
  <c r="O35" i="1"/>
  <c r="O36" i="1" a="1"/>
  <c r="O36" i="1"/>
  <c r="O37" i="1" a="1"/>
  <c r="O37" i="1"/>
  <c r="O38" i="1" a="1"/>
  <c r="O38" i="1"/>
  <c r="O39" i="1" a="1"/>
  <c r="O39" i="1"/>
  <c r="O40" i="1" a="1"/>
  <c r="O40" i="1"/>
  <c r="O41" i="1" a="1"/>
  <c r="O41" i="1"/>
  <c r="O42" i="1" a="1"/>
  <c r="O42" i="1"/>
  <c r="O43" i="1" a="1"/>
  <c r="O43" i="1"/>
  <c r="O44" i="1" a="1"/>
  <c r="O44" i="1"/>
  <c r="O45" i="1" a="1"/>
  <c r="O45" i="1"/>
  <c r="O46" i="1" a="1"/>
  <c r="O46" i="1"/>
  <c r="O47" i="1" a="1"/>
  <c r="O47" i="1"/>
  <c r="O48" i="1" a="1"/>
  <c r="O48" i="1"/>
  <c r="O49" i="1" a="1"/>
  <c r="O49" i="1"/>
  <c r="O50" i="1" a="1"/>
  <c r="O50" i="1"/>
  <c r="O51" i="1" a="1"/>
  <c r="O51" i="1"/>
  <c r="O52" i="1" a="1"/>
  <c r="O52" i="1"/>
  <c r="O53" i="1" a="1"/>
  <c r="O53" i="1"/>
  <c r="O54" i="1" a="1"/>
  <c r="O54" i="1"/>
  <c r="O55" i="1" a="1"/>
  <c r="O55" i="1"/>
  <c r="O56" i="1" a="1"/>
  <c r="O56" i="1"/>
  <c r="O57" i="1" a="1"/>
  <c r="O57" i="1"/>
  <c r="O58" i="1" a="1"/>
  <c r="O58" i="1"/>
  <c r="O59" i="1" a="1"/>
  <c r="O59" i="1"/>
  <c r="O60" i="1" a="1"/>
  <c r="O60" i="1"/>
  <c r="O61" i="1" a="1"/>
  <c r="O61" i="1"/>
  <c r="O62" i="1" a="1"/>
  <c r="O62" i="1"/>
  <c r="O63" i="1" a="1"/>
  <c r="O63" i="1"/>
  <c r="O64" i="1" a="1"/>
  <c r="O64" i="1"/>
  <c r="O65" i="1" a="1"/>
  <c r="O65" i="1"/>
  <c r="O66" i="1" a="1"/>
  <c r="O66" i="1"/>
  <c r="O67" i="1" a="1"/>
  <c r="O67" i="1"/>
  <c r="O68" i="1" a="1"/>
  <c r="O68" i="1"/>
  <c r="O69" i="1" a="1"/>
  <c r="O69" i="1"/>
  <c r="O70" i="1" a="1"/>
  <c r="O70" i="1"/>
  <c r="O71" i="1" a="1"/>
  <c r="O71" i="1"/>
  <c r="O72" i="1" a="1"/>
  <c r="O72" i="1"/>
  <c r="O73" i="1" a="1"/>
  <c r="O73" i="1"/>
  <c r="O74" i="1" a="1"/>
  <c r="O74" i="1"/>
  <c r="O75" i="1" a="1"/>
  <c r="O75" i="1"/>
  <c r="O76" i="1" a="1"/>
  <c r="O76" i="1"/>
  <c r="O77" i="1" a="1"/>
  <c r="O77" i="1"/>
  <c r="O78" i="1" a="1"/>
  <c r="O78" i="1"/>
  <c r="O79" i="1" a="1"/>
  <c r="O79" i="1"/>
  <c r="O80" i="1" a="1"/>
  <c r="O80" i="1"/>
  <c r="O81" i="1" a="1"/>
  <c r="O81" i="1"/>
  <c r="O82" i="1" a="1"/>
  <c r="O82" i="1"/>
  <c r="O83" i="1" a="1"/>
  <c r="O83" i="1"/>
  <c r="O84" i="1" a="1"/>
  <c r="O84" i="1"/>
  <c r="O85" i="1" a="1"/>
  <c r="O85" i="1"/>
  <c r="O86" i="1" a="1"/>
  <c r="O86" i="1"/>
  <c r="O87" i="1" a="1"/>
  <c r="O87" i="1"/>
  <c r="O88" i="1" a="1"/>
  <c r="O88" i="1"/>
  <c r="O89" i="1" a="1"/>
  <c r="O89" i="1"/>
  <c r="O90" i="1" a="1"/>
  <c r="O90" i="1"/>
  <c r="O91" i="1" a="1"/>
  <c r="O91" i="1"/>
  <c r="O92" i="1" a="1"/>
  <c r="O92" i="1"/>
  <c r="O93" i="1" a="1"/>
  <c r="O93" i="1"/>
  <c r="O94" i="1" a="1"/>
  <c r="O94" i="1"/>
  <c r="O95" i="1" a="1"/>
  <c r="O95" i="1"/>
  <c r="O96" i="1" a="1"/>
  <c r="O96" i="1"/>
  <c r="O97" i="1" a="1"/>
  <c r="O97" i="1"/>
  <c r="O98" i="1" a="1"/>
  <c r="O98" i="1"/>
  <c r="O99" i="1" a="1"/>
  <c r="O99" i="1"/>
  <c r="O100" i="1" a="1"/>
  <c r="O100" i="1"/>
  <c r="O101" i="1" a="1"/>
  <c r="O101" i="1"/>
  <c r="O102" i="1" a="1"/>
  <c r="O102" i="1"/>
  <c r="O103" i="1" a="1"/>
  <c r="O103" i="1"/>
  <c r="O104" i="1" a="1"/>
  <c r="O104" i="1"/>
  <c r="O105" i="1" a="1"/>
  <c r="O105" i="1"/>
  <c r="O106" i="1" a="1"/>
  <c r="O106" i="1"/>
  <c r="O107" i="1" a="1"/>
  <c r="O107" i="1"/>
  <c r="O108" i="1" a="1"/>
  <c r="O108" i="1"/>
  <c r="O109" i="1" a="1"/>
  <c r="O109" i="1"/>
  <c r="O110" i="1" a="1"/>
  <c r="O110" i="1"/>
  <c r="O111" i="1" a="1"/>
  <c r="O111" i="1"/>
  <c r="O112" i="1" a="1"/>
  <c r="O112" i="1"/>
  <c r="O113" i="1" a="1"/>
  <c r="O113" i="1"/>
  <c r="O114" i="1" a="1"/>
  <c r="O114" i="1"/>
  <c r="O115" i="1" a="1"/>
  <c r="O115" i="1"/>
  <c r="O116" i="1" a="1"/>
  <c r="O116" i="1"/>
  <c r="O117" i="1" a="1"/>
  <c r="O117" i="1"/>
  <c r="O118" i="1" a="1"/>
  <c r="O118" i="1"/>
  <c r="O119" i="1" a="1"/>
  <c r="O119" i="1"/>
  <c r="O120" i="1" a="1"/>
  <c r="O120" i="1"/>
  <c r="O121" i="1" a="1"/>
  <c r="O121" i="1"/>
  <c r="O122" i="1" a="1"/>
  <c r="O122" i="1"/>
  <c r="O123" i="1" a="1"/>
  <c r="O123" i="1"/>
  <c r="O124" i="1" a="1"/>
  <c r="O124" i="1"/>
  <c r="O125" i="1" a="1"/>
  <c r="O125" i="1"/>
  <c r="O126" i="1" a="1"/>
  <c r="O126" i="1"/>
  <c r="O127" i="1" a="1"/>
  <c r="O127" i="1"/>
  <c r="O128" i="1" a="1"/>
  <c r="O128" i="1"/>
  <c r="O129" i="1" a="1"/>
  <c r="O129" i="1"/>
  <c r="O130" i="1" a="1"/>
  <c r="O130" i="1"/>
  <c r="O131" i="1" a="1"/>
  <c r="O131" i="1"/>
  <c r="O132" i="1" a="1"/>
  <c r="O132" i="1"/>
  <c r="O133" i="1" a="1"/>
  <c r="O133" i="1"/>
  <c r="O134" i="1" a="1"/>
  <c r="O134" i="1"/>
  <c r="O135" i="1" a="1"/>
  <c r="O135" i="1"/>
  <c r="O136" i="1" a="1"/>
  <c r="O136" i="1"/>
  <c r="O137" i="1" a="1"/>
  <c r="O137" i="1"/>
  <c r="O138" i="1" a="1"/>
  <c r="O138" i="1"/>
  <c r="O139" i="1" a="1"/>
  <c r="O139" i="1"/>
  <c r="O140" i="1" a="1"/>
  <c r="O140" i="1"/>
  <c r="O141" i="1" a="1"/>
  <c r="O141" i="1"/>
  <c r="O142" i="1" a="1"/>
  <c r="O142" i="1"/>
  <c r="O143" i="1" a="1"/>
  <c r="O143" i="1"/>
  <c r="O144" i="1" a="1"/>
  <c r="O144" i="1"/>
  <c r="O145" i="1" a="1"/>
  <c r="O145" i="1"/>
  <c r="O146" i="1" a="1"/>
  <c r="O146" i="1"/>
  <c r="O147" i="1" a="1"/>
  <c r="O147" i="1"/>
  <c r="O148" i="1" a="1"/>
  <c r="O148" i="1"/>
  <c r="O149" i="1" a="1"/>
  <c r="O149" i="1"/>
  <c r="O150" i="1" a="1"/>
  <c r="O150" i="1"/>
  <c r="O151" i="1" a="1"/>
  <c r="O151" i="1"/>
  <c r="O152" i="1" a="1"/>
  <c r="O152" i="1"/>
  <c r="O153" i="1" a="1"/>
  <c r="O153" i="1"/>
  <c r="O154" i="1" a="1"/>
  <c r="O154" i="1"/>
  <c r="O155" i="1" a="1"/>
  <c r="O155" i="1"/>
  <c r="O156" i="1" a="1"/>
  <c r="O156" i="1"/>
  <c r="O157" i="1" a="1"/>
  <c r="O157" i="1"/>
  <c r="O158" i="1" a="1"/>
  <c r="O158" i="1"/>
  <c r="O159" i="1" a="1"/>
  <c r="O159" i="1"/>
  <c r="O160" i="1" a="1"/>
  <c r="O160" i="1"/>
  <c r="O161" i="1" a="1"/>
  <c r="O161" i="1"/>
  <c r="O162" i="1" a="1"/>
  <c r="O162" i="1"/>
  <c r="O163" i="1" a="1"/>
  <c r="O163" i="1"/>
  <c r="O164" i="1" a="1"/>
  <c r="O164" i="1"/>
  <c r="O165" i="1" a="1"/>
  <c r="O165" i="1"/>
  <c r="O166" i="1" a="1"/>
  <c r="O166" i="1"/>
  <c r="O167" i="1" a="1"/>
  <c r="O167" i="1"/>
  <c r="O168" i="1" a="1"/>
  <c r="O168" i="1"/>
  <c r="O169" i="1" a="1"/>
  <c r="O169" i="1"/>
  <c r="O170" i="1" a="1"/>
  <c r="O170" i="1"/>
  <c r="O171" i="1" a="1"/>
  <c r="O171" i="1"/>
  <c r="O172" i="1" a="1"/>
  <c r="O172" i="1"/>
  <c r="O173" i="1" a="1"/>
  <c r="O173" i="1"/>
  <c r="O174" i="1" a="1"/>
  <c r="O174" i="1"/>
  <c r="O175" i="1" a="1"/>
  <c r="O175" i="1"/>
  <c r="O176" i="1" a="1"/>
  <c r="O176" i="1"/>
  <c r="O177" i="1" a="1"/>
  <c r="O177" i="1"/>
  <c r="O178" i="1" a="1"/>
  <c r="O178" i="1"/>
  <c r="O179" i="1" a="1"/>
  <c r="O179" i="1"/>
  <c r="O180" i="1" a="1"/>
  <c r="O180" i="1"/>
  <c r="O181" i="1" a="1"/>
  <c r="O181" i="1"/>
  <c r="O182" i="1" a="1"/>
  <c r="O182" i="1"/>
  <c r="O183" i="1" a="1"/>
  <c r="O183" i="1"/>
  <c r="O184" i="1" a="1"/>
  <c r="O184" i="1"/>
  <c r="O185" i="1" a="1"/>
  <c r="O185" i="1"/>
  <c r="O186" i="1" a="1"/>
  <c r="O186" i="1"/>
  <c r="O187" i="1" a="1"/>
  <c r="O187" i="1"/>
  <c r="O188" i="1" a="1"/>
  <c r="O188" i="1"/>
  <c r="O189" i="1" a="1"/>
  <c r="O189" i="1"/>
  <c r="O190" i="1" a="1"/>
  <c r="O190" i="1"/>
  <c r="O191" i="1" a="1"/>
  <c r="O191" i="1"/>
  <c r="O192" i="1" a="1"/>
  <c r="O192" i="1"/>
  <c r="O193" i="1" a="1"/>
  <c r="O193" i="1"/>
  <c r="O194" i="1" a="1"/>
  <c r="O194" i="1"/>
  <c r="O195" i="1" a="1"/>
  <c r="O195" i="1"/>
  <c r="O196" i="1" a="1"/>
  <c r="O196" i="1"/>
  <c r="O197" i="1" a="1"/>
  <c r="O197" i="1"/>
  <c r="O198" i="1" a="1"/>
  <c r="O198" i="1"/>
  <c r="O199" i="1" a="1"/>
  <c r="O199" i="1"/>
  <c r="O200" i="1" a="1"/>
  <c r="O200" i="1"/>
  <c r="O201" i="1" a="1"/>
  <c r="O201" i="1"/>
  <c r="O202" i="1" a="1"/>
  <c r="O202" i="1"/>
  <c r="O203" i="1" a="1"/>
  <c r="O203" i="1"/>
  <c r="O204" i="1" a="1"/>
  <c r="O204" i="1"/>
  <c r="O205" i="1" a="1"/>
  <c r="O205" i="1"/>
  <c r="O206" i="1" a="1"/>
  <c r="O206" i="1"/>
  <c r="O207" i="1" a="1"/>
  <c r="O207" i="1"/>
  <c r="O208" i="1" a="1"/>
  <c r="O208" i="1"/>
  <c r="O209" i="1" a="1"/>
  <c r="O209" i="1"/>
  <c r="O210" i="1" a="1"/>
  <c r="O210" i="1"/>
  <c r="O211" i="1" a="1"/>
  <c r="O211" i="1"/>
  <c r="O212" i="1" a="1"/>
  <c r="O212" i="1"/>
  <c r="O213" i="1" a="1"/>
  <c r="O213" i="1"/>
  <c r="O214" i="1" a="1"/>
  <c r="O214" i="1"/>
  <c r="O215" i="1" a="1"/>
  <c r="O215" i="1"/>
  <c r="O216" i="1" a="1"/>
  <c r="O216" i="1"/>
  <c r="O217" i="1" a="1"/>
  <c r="O217" i="1"/>
  <c r="O218" i="1" a="1"/>
  <c r="O218" i="1"/>
  <c r="O219" i="1" a="1"/>
  <c r="O219" i="1"/>
  <c r="O220" i="1" a="1"/>
  <c r="O220" i="1"/>
  <c r="O221" i="1" a="1"/>
  <c r="O221" i="1"/>
  <c r="O222" i="1" a="1"/>
  <c r="O222" i="1"/>
  <c r="O223" i="1" a="1"/>
  <c r="O223" i="1"/>
  <c r="O224" i="1" a="1"/>
  <c r="O224" i="1"/>
  <c r="O225" i="1" a="1"/>
  <c r="O225" i="1"/>
  <c r="O226" i="1" a="1"/>
  <c r="O226" i="1"/>
  <c r="O227" i="1" a="1"/>
  <c r="O227" i="1"/>
  <c r="O228" i="1" a="1"/>
  <c r="O228" i="1"/>
  <c r="O229" i="1" a="1"/>
  <c r="O229" i="1"/>
  <c r="O230" i="1" a="1"/>
  <c r="O230" i="1"/>
  <c r="O231" i="1" a="1"/>
  <c r="O231" i="1"/>
  <c r="O232" i="1" a="1"/>
  <c r="O232" i="1"/>
  <c r="O233" i="1" a="1"/>
  <c r="O233" i="1"/>
  <c r="O234" i="1" a="1"/>
  <c r="O234" i="1"/>
  <c r="O235" i="1" a="1"/>
  <c r="O235" i="1"/>
  <c r="O236" i="1" a="1"/>
  <c r="O236" i="1"/>
  <c r="O237" i="1" a="1"/>
  <c r="O237" i="1"/>
  <c r="O238" i="1" a="1"/>
  <c r="O238" i="1"/>
  <c r="O239" i="1" a="1"/>
  <c r="O239" i="1"/>
  <c r="O240" i="1" a="1"/>
  <c r="O240" i="1"/>
  <c r="O241" i="1" a="1"/>
  <c r="O241" i="1"/>
  <c r="O242" i="1" a="1"/>
  <c r="O242" i="1"/>
  <c r="O243" i="1" a="1"/>
  <c r="O243" i="1"/>
  <c r="O244" i="1" a="1"/>
  <c r="O244" i="1"/>
  <c r="O245" i="1" a="1"/>
  <c r="O245" i="1"/>
  <c r="O246" i="1" a="1"/>
  <c r="O246" i="1"/>
  <c r="O247" i="1" a="1"/>
  <c r="O247" i="1"/>
  <c r="O248" i="1" a="1"/>
  <c r="O248" i="1"/>
  <c r="O249" i="1" a="1"/>
  <c r="O249" i="1"/>
  <c r="O250" i="1" a="1"/>
  <c r="O250" i="1"/>
  <c r="O251" i="1" a="1"/>
  <c r="O251" i="1"/>
  <c r="O252" i="1" a="1"/>
  <c r="O252" i="1"/>
  <c r="O253" i="1" a="1"/>
  <c r="O253" i="1"/>
  <c r="O254" i="1" a="1"/>
  <c r="O254" i="1"/>
  <c r="O255" i="1" a="1"/>
  <c r="O255" i="1"/>
  <c r="O256" i="1" a="1"/>
  <c r="O256" i="1"/>
  <c r="O257" i="1" a="1"/>
  <c r="O257" i="1"/>
  <c r="O258" i="1" a="1"/>
  <c r="O258" i="1"/>
  <c r="O259" i="1" a="1"/>
  <c r="O259" i="1"/>
  <c r="O260" i="1" a="1"/>
  <c r="O260" i="1"/>
  <c r="O261" i="1" a="1"/>
  <c r="O261" i="1"/>
  <c r="O262" i="1" a="1"/>
  <c r="O262" i="1"/>
  <c r="O263" i="1" a="1"/>
  <c r="O263" i="1"/>
  <c r="O264" i="1" a="1"/>
  <c r="O264" i="1"/>
  <c r="O265" i="1" a="1"/>
  <c r="O265" i="1"/>
  <c r="O266" i="1" a="1"/>
  <c r="O266" i="1"/>
  <c r="O267" i="1" a="1"/>
  <c r="O267" i="1"/>
  <c r="O268" i="1" a="1"/>
  <c r="O268" i="1"/>
  <c r="O269" i="1" a="1"/>
  <c r="O269" i="1"/>
  <c r="O270" i="1" a="1"/>
  <c r="O270" i="1"/>
  <c r="O271" i="1" a="1"/>
  <c r="O271" i="1"/>
  <c r="O272" i="1" a="1"/>
  <c r="O272" i="1"/>
  <c r="O273" i="1" a="1"/>
  <c r="O273" i="1"/>
  <c r="O274" i="1" a="1"/>
  <c r="O274" i="1"/>
  <c r="O275" i="1" a="1"/>
  <c r="O275" i="1"/>
  <c r="O276" i="1" a="1"/>
  <c r="O276" i="1"/>
  <c r="O277" i="1" a="1"/>
  <c r="O277" i="1"/>
  <c r="O278" i="1" a="1"/>
  <c r="O278" i="1"/>
  <c r="O279" i="1" a="1"/>
  <c r="O279" i="1"/>
  <c r="O280" i="1" a="1"/>
  <c r="O280" i="1"/>
  <c r="O281" i="1" a="1"/>
  <c r="O281" i="1"/>
  <c r="O282" i="1" a="1"/>
  <c r="O282" i="1"/>
  <c r="O283" i="1" a="1"/>
  <c r="O283" i="1"/>
  <c r="O284" i="1" a="1"/>
  <c r="O284" i="1"/>
  <c r="O285" i="1" a="1"/>
  <c r="O285" i="1"/>
  <c r="O286" i="1" a="1"/>
  <c r="O286" i="1"/>
  <c r="O287" i="1" a="1"/>
  <c r="O287" i="1"/>
  <c r="O288" i="1" a="1"/>
  <c r="O288" i="1"/>
  <c r="O289" i="1" a="1"/>
  <c r="O289" i="1"/>
  <c r="O290" i="1" a="1"/>
  <c r="O290" i="1"/>
  <c r="O291" i="1" a="1"/>
  <c r="O291" i="1"/>
  <c r="O292" i="1" a="1"/>
  <c r="O292" i="1"/>
  <c r="O293" i="1" a="1"/>
  <c r="O293" i="1"/>
  <c r="O294" i="1" a="1"/>
  <c r="O294" i="1"/>
  <c r="O295" i="1" a="1"/>
  <c r="O295" i="1"/>
  <c r="O296" i="1" a="1"/>
  <c r="O296" i="1"/>
  <c r="O297" i="1" a="1"/>
  <c r="O297" i="1"/>
  <c r="O298" i="1" a="1"/>
  <c r="O298" i="1"/>
  <c r="O299" i="1" a="1"/>
  <c r="O299" i="1"/>
  <c r="O300" i="1" a="1"/>
  <c r="O300" i="1"/>
  <c r="O301" i="1" a="1"/>
  <c r="O301" i="1"/>
  <c r="O302" i="1" a="1"/>
  <c r="O302" i="1"/>
  <c r="O303" i="1" a="1"/>
  <c r="O303" i="1"/>
  <c r="O304" i="1" a="1"/>
  <c r="O304" i="1"/>
  <c r="O305" i="1" a="1"/>
  <c r="O305" i="1"/>
  <c r="O306" i="1" a="1"/>
  <c r="O306" i="1"/>
  <c r="O307" i="1" a="1"/>
  <c r="O307" i="1"/>
  <c r="O308" i="1" a="1"/>
  <c r="O308" i="1"/>
  <c r="O309" i="1" a="1"/>
  <c r="O309" i="1"/>
  <c r="O310" i="1" a="1"/>
  <c r="O310" i="1"/>
  <c r="O311" i="1" a="1"/>
  <c r="O311" i="1"/>
  <c r="O312" i="1" a="1"/>
  <c r="O312" i="1"/>
  <c r="O313" i="1" a="1"/>
  <c r="O313" i="1"/>
  <c r="O314" i="1" a="1"/>
  <c r="O314" i="1"/>
  <c r="O315" i="1" a="1"/>
  <c r="O315" i="1"/>
  <c r="O316" i="1" a="1"/>
  <c r="O316" i="1"/>
  <c r="O317" i="1" a="1"/>
  <c r="O317" i="1"/>
  <c r="O318" i="1" a="1"/>
  <c r="O318" i="1"/>
  <c r="O319" i="1" a="1"/>
  <c r="O319" i="1"/>
  <c r="O320" i="1" a="1"/>
  <c r="O320" i="1"/>
  <c r="O321" i="1" a="1"/>
  <c r="O321" i="1"/>
  <c r="O322" i="1" a="1"/>
  <c r="O322" i="1"/>
  <c r="O323" i="1" a="1"/>
  <c r="O323" i="1"/>
  <c r="O324" i="1" a="1"/>
  <c r="O324" i="1"/>
  <c r="O325" i="1" a="1"/>
  <c r="O325" i="1"/>
  <c r="O326" i="1" a="1"/>
  <c r="O326" i="1"/>
  <c r="O327" i="1" a="1"/>
  <c r="O327" i="1"/>
  <c r="O328" i="1" a="1"/>
  <c r="O328" i="1"/>
  <c r="O329" i="1" a="1"/>
  <c r="O329" i="1"/>
  <c r="O330" i="1" a="1"/>
  <c r="O330" i="1"/>
  <c r="O331" i="1" a="1"/>
  <c r="O331" i="1"/>
  <c r="O332" i="1" a="1"/>
  <c r="O332" i="1"/>
  <c r="O333" i="1" a="1"/>
  <c r="O333" i="1"/>
  <c r="O334" i="1" a="1"/>
  <c r="O334" i="1"/>
  <c r="O335" i="1" a="1"/>
  <c r="O335" i="1"/>
  <c r="O336" i="1" a="1"/>
  <c r="O336" i="1"/>
  <c r="O337" i="1" a="1"/>
  <c r="O337" i="1"/>
  <c r="O338" i="1" a="1"/>
  <c r="O338" i="1"/>
  <c r="O339" i="1" a="1"/>
  <c r="O339" i="1"/>
  <c r="O340" i="1" a="1"/>
  <c r="O340" i="1"/>
  <c r="O341" i="1" a="1"/>
  <c r="O341" i="1"/>
  <c r="O342" i="1" a="1"/>
  <c r="O342" i="1"/>
  <c r="O343" i="1" a="1"/>
  <c r="O343" i="1"/>
  <c r="O344" i="1" a="1"/>
  <c r="O344" i="1"/>
  <c r="O345" i="1" a="1"/>
  <c r="O345" i="1"/>
  <c r="O346" i="1" a="1"/>
  <c r="O346" i="1"/>
  <c r="O347" i="1" a="1"/>
  <c r="O347" i="1"/>
  <c r="O348" i="1" a="1"/>
  <c r="O348" i="1"/>
  <c r="O349" i="1" a="1"/>
  <c r="O349" i="1"/>
  <c r="O350" i="1" a="1"/>
  <c r="O350" i="1"/>
  <c r="O351" i="1" a="1"/>
  <c r="O351" i="1"/>
  <c r="O352" i="1" a="1"/>
  <c r="O352" i="1"/>
  <c r="O353" i="1" a="1"/>
  <c r="O353" i="1"/>
  <c r="O354" i="1" a="1"/>
  <c r="O354" i="1"/>
  <c r="O355" i="1" a="1"/>
  <c r="O355" i="1"/>
  <c r="O356" i="1" a="1"/>
  <c r="O356" i="1"/>
  <c r="O357" i="1" a="1"/>
  <c r="O357" i="1"/>
  <c r="O358" i="1" a="1"/>
  <c r="O358" i="1"/>
  <c r="O359" i="1" a="1"/>
  <c r="O359" i="1"/>
  <c r="O360" i="1" a="1"/>
  <c r="O360" i="1"/>
  <c r="O361" i="1" a="1"/>
  <c r="O361" i="1"/>
  <c r="O362" i="1" a="1"/>
  <c r="O362" i="1"/>
  <c r="O363" i="1" a="1"/>
  <c r="O363" i="1"/>
  <c r="O364" i="1" a="1"/>
  <c r="O364" i="1"/>
  <c r="O365" i="1" a="1"/>
  <c r="O365" i="1"/>
  <c r="O366" i="1" a="1"/>
  <c r="O366" i="1"/>
  <c r="O367" i="1" a="1"/>
  <c r="O367" i="1"/>
  <c r="O368" i="1" a="1"/>
  <c r="O368" i="1"/>
  <c r="O369" i="1" a="1"/>
  <c r="O369" i="1"/>
  <c r="O370" i="1" a="1"/>
  <c r="O370" i="1"/>
  <c r="O371" i="1" a="1"/>
  <c r="O371" i="1"/>
  <c r="O372" i="1" a="1"/>
  <c r="O372" i="1"/>
  <c r="O373" i="1" a="1"/>
  <c r="O373" i="1"/>
  <c r="O374" i="1" a="1"/>
  <c r="O374" i="1"/>
  <c r="O375" i="1" a="1"/>
  <c r="O375" i="1"/>
  <c r="O376" i="1" a="1"/>
  <c r="O376" i="1"/>
  <c r="O377" i="1" a="1"/>
  <c r="O377" i="1"/>
  <c r="O378" i="1" a="1"/>
  <c r="O378" i="1"/>
  <c r="O379" i="1" a="1"/>
  <c r="O379" i="1"/>
  <c r="O380" i="1" a="1"/>
  <c r="O380" i="1"/>
  <c r="O381" i="1" a="1"/>
  <c r="O381" i="1"/>
  <c r="O382" i="1" a="1"/>
  <c r="O382" i="1"/>
  <c r="O383" i="1" a="1"/>
  <c r="O383" i="1"/>
  <c r="O384" i="1" a="1"/>
  <c r="O384" i="1"/>
  <c r="O385" i="1" a="1"/>
  <c r="O385" i="1"/>
  <c r="O386" i="1" a="1"/>
  <c r="O386" i="1"/>
  <c r="O387" i="1" a="1"/>
  <c r="O387" i="1"/>
  <c r="O388" i="1" a="1"/>
  <c r="O388" i="1"/>
  <c r="O389" i="1" a="1"/>
  <c r="O389" i="1"/>
  <c r="O390" i="1" a="1"/>
  <c r="O390" i="1"/>
  <c r="O391" i="1" a="1"/>
  <c r="O391" i="1"/>
  <c r="O392" i="1" a="1"/>
  <c r="O392" i="1"/>
  <c r="O393" i="1" a="1"/>
  <c r="O393" i="1"/>
  <c r="O394" i="1" a="1"/>
  <c r="O394" i="1"/>
  <c r="O395" i="1" a="1"/>
  <c r="O395" i="1"/>
  <c r="O396" i="1" a="1"/>
  <c r="O396" i="1"/>
  <c r="O397" i="1" a="1"/>
  <c r="O397" i="1"/>
  <c r="O398" i="1" a="1"/>
  <c r="O398" i="1"/>
  <c r="O399" i="1" a="1"/>
  <c r="O399" i="1"/>
  <c r="O400" i="1" a="1"/>
  <c r="O400" i="1"/>
  <c r="O401" i="1" a="1"/>
  <c r="O401" i="1"/>
  <c r="O402" i="1" a="1"/>
  <c r="O402" i="1"/>
  <c r="O403" i="1" a="1"/>
  <c r="O403" i="1"/>
  <c r="O404" i="1" a="1"/>
  <c r="O404" i="1"/>
  <c r="O405" i="1" a="1"/>
  <c r="O405" i="1"/>
  <c r="O406" i="1" a="1"/>
  <c r="O406" i="1"/>
  <c r="O407" i="1" a="1"/>
  <c r="O407" i="1"/>
  <c r="O408" i="1" a="1"/>
  <c r="O408" i="1"/>
  <c r="O409" i="1" a="1"/>
  <c r="O409" i="1"/>
  <c r="O410" i="1" a="1"/>
  <c r="O410" i="1"/>
  <c r="O411" i="1" a="1"/>
  <c r="O411" i="1"/>
  <c r="O412" i="1" a="1"/>
  <c r="O412" i="1"/>
  <c r="O413" i="1" a="1"/>
  <c r="O413" i="1"/>
  <c r="O414" i="1" a="1"/>
  <c r="O414" i="1"/>
  <c r="O415" i="1" a="1"/>
  <c r="O415" i="1"/>
  <c r="O416" i="1" a="1"/>
  <c r="O416" i="1"/>
  <c r="O417" i="1" a="1"/>
  <c r="O417" i="1"/>
  <c r="O418" i="1" a="1"/>
  <c r="O418" i="1"/>
  <c r="O419" i="1" a="1"/>
  <c r="O419" i="1"/>
  <c r="O420" i="1" a="1"/>
  <c r="O420" i="1"/>
  <c r="O421" i="1" a="1"/>
  <c r="O421" i="1"/>
  <c r="O422" i="1" a="1"/>
  <c r="O422" i="1"/>
  <c r="O423" i="1" a="1"/>
  <c r="O423" i="1"/>
  <c r="O424" i="1" a="1"/>
  <c r="O424" i="1"/>
  <c r="O425" i="1" a="1"/>
  <c r="O425" i="1"/>
  <c r="O426" i="1" a="1"/>
  <c r="O426" i="1"/>
  <c r="O427" i="1" a="1"/>
  <c r="O427" i="1"/>
  <c r="O428" i="1" a="1"/>
  <c r="O428" i="1"/>
  <c r="O429" i="1" a="1"/>
  <c r="O429" i="1"/>
  <c r="O430" i="1" a="1"/>
  <c r="O430" i="1"/>
  <c r="O431" i="1" a="1"/>
  <c r="O431" i="1"/>
  <c r="O432" i="1" a="1"/>
  <c r="O432" i="1"/>
  <c r="O433" i="1" a="1"/>
  <c r="O433" i="1"/>
  <c r="O434" i="1" a="1"/>
  <c r="O434" i="1"/>
  <c r="O435" i="1" a="1"/>
  <c r="O435" i="1"/>
  <c r="O436" i="1" a="1"/>
  <c r="O436" i="1"/>
  <c r="O437" i="1" a="1"/>
  <c r="O437" i="1"/>
  <c r="O438" i="1" a="1"/>
  <c r="O438" i="1"/>
  <c r="O439" i="1" a="1"/>
  <c r="O439" i="1"/>
  <c r="O440" i="1" a="1"/>
  <c r="O440" i="1"/>
  <c r="O441" i="1" a="1"/>
  <c r="O441" i="1"/>
  <c r="O442" i="1" a="1"/>
  <c r="O442" i="1"/>
  <c r="O443" i="1" a="1"/>
  <c r="O443" i="1"/>
  <c r="O444" i="1" a="1"/>
  <c r="O444" i="1"/>
  <c r="O445" i="1" a="1"/>
  <c r="O445" i="1"/>
  <c r="O446" i="1" a="1"/>
  <c r="O446" i="1"/>
  <c r="O447" i="1" a="1"/>
  <c r="O447" i="1"/>
  <c r="O448" i="1" a="1"/>
  <c r="O448" i="1"/>
  <c r="O449" i="1" a="1"/>
  <c r="O449" i="1"/>
  <c r="O450" i="1" a="1"/>
  <c r="O450" i="1"/>
  <c r="O451" i="1" a="1"/>
  <c r="O451" i="1"/>
  <c r="O452" i="1" a="1"/>
  <c r="O452" i="1"/>
  <c r="O453" i="1" a="1"/>
  <c r="O453" i="1"/>
  <c r="O454" i="1" a="1"/>
  <c r="O454" i="1"/>
  <c r="O455" i="1" a="1"/>
  <c r="O455" i="1"/>
  <c r="O456" i="1" a="1"/>
  <c r="O456" i="1"/>
  <c r="O457" i="1" a="1"/>
  <c r="O457" i="1"/>
  <c r="O458" i="1" a="1"/>
  <c r="O458" i="1"/>
  <c r="O459" i="1" a="1"/>
  <c r="O459" i="1"/>
  <c r="O460" i="1" a="1"/>
  <c r="O460" i="1"/>
  <c r="O461" i="1" a="1"/>
  <c r="O461" i="1"/>
  <c r="O462" i="1" a="1"/>
  <c r="O462" i="1"/>
  <c r="O463" i="1" a="1"/>
  <c r="O463" i="1"/>
  <c r="O464" i="1" a="1"/>
  <c r="O464" i="1"/>
  <c r="O465" i="1" a="1"/>
  <c r="O465" i="1"/>
  <c r="O466" i="1" a="1"/>
  <c r="O466" i="1"/>
  <c r="O467" i="1" a="1"/>
  <c r="O467" i="1"/>
  <c r="O468" i="1" a="1"/>
  <c r="O468" i="1"/>
  <c r="O469" i="1" a="1"/>
  <c r="O469" i="1"/>
  <c r="O470" i="1" a="1"/>
  <c r="O470" i="1"/>
  <c r="O471" i="1" a="1"/>
  <c r="O471" i="1"/>
  <c r="O472" i="1" a="1"/>
  <c r="O472" i="1"/>
  <c r="O473" i="1" a="1"/>
  <c r="O473" i="1"/>
  <c r="O474" i="1" a="1"/>
  <c r="O474" i="1"/>
  <c r="O475" i="1" a="1"/>
  <c r="O475" i="1"/>
  <c r="O476" i="1" a="1"/>
  <c r="O476" i="1"/>
  <c r="O477" i="1" a="1"/>
  <c r="O477" i="1"/>
  <c r="O478" i="1" a="1"/>
  <c r="O478" i="1"/>
  <c r="O479" i="1" a="1"/>
  <c r="O479" i="1"/>
  <c r="O480" i="1" a="1"/>
  <c r="O480" i="1"/>
  <c r="O481" i="1" a="1"/>
  <c r="O481" i="1"/>
  <c r="O482" i="1" a="1"/>
  <c r="O482" i="1"/>
  <c r="O483" i="1" a="1"/>
  <c r="O483" i="1"/>
  <c r="O484" i="1" a="1"/>
  <c r="O484" i="1"/>
  <c r="O485" i="1" a="1"/>
  <c r="O485" i="1"/>
  <c r="O486" i="1" a="1"/>
  <c r="O486" i="1"/>
  <c r="O487" i="1" a="1"/>
  <c r="O487" i="1"/>
  <c r="O488" i="1" a="1"/>
  <c r="O488" i="1"/>
  <c r="O489" i="1" a="1"/>
  <c r="O489" i="1"/>
  <c r="O490" i="1" a="1"/>
  <c r="O490" i="1"/>
  <c r="O491" i="1" a="1"/>
  <c r="O491" i="1"/>
  <c r="O492" i="1" a="1"/>
  <c r="O492" i="1"/>
  <c r="O493" i="1" a="1"/>
  <c r="O493" i="1"/>
  <c r="O494" i="1" a="1"/>
  <c r="O494" i="1"/>
  <c r="O495" i="1" a="1"/>
  <c r="O495" i="1"/>
  <c r="O496" i="1" a="1"/>
  <c r="O496" i="1"/>
  <c r="O497" i="1" a="1"/>
  <c r="O497" i="1"/>
  <c r="O498" i="1" a="1"/>
  <c r="O498" i="1"/>
  <c r="O499" i="1" a="1"/>
  <c r="O499" i="1"/>
  <c r="O500" i="1" a="1"/>
  <c r="O500" i="1"/>
  <c r="O501" i="1" a="1"/>
  <c r="O501" i="1"/>
  <c r="O502" i="1" a="1"/>
  <c r="O502" i="1"/>
  <c r="O503" i="1" a="1"/>
  <c r="O503" i="1"/>
  <c r="O504" i="1" a="1"/>
  <c r="O504" i="1"/>
  <c r="O505" i="1" a="1"/>
  <c r="O505" i="1"/>
  <c r="O506" i="1" a="1"/>
  <c r="O506" i="1"/>
  <c r="O507" i="1" a="1"/>
  <c r="O507" i="1"/>
  <c r="O508" i="1" a="1"/>
  <c r="O508" i="1"/>
  <c r="O509" i="1" a="1"/>
  <c r="O509" i="1"/>
  <c r="O510" i="1" a="1"/>
  <c r="O510" i="1"/>
  <c r="O511" i="1" a="1"/>
  <c r="O511" i="1"/>
  <c r="O512" i="1" a="1"/>
  <c r="O512" i="1"/>
  <c r="O513" i="1" a="1"/>
  <c r="O513" i="1"/>
  <c r="O514" i="1" a="1"/>
  <c r="O514" i="1"/>
  <c r="O515" i="1" a="1"/>
  <c r="O515" i="1"/>
  <c r="O516" i="1" a="1"/>
  <c r="O516" i="1"/>
  <c r="O517" i="1" a="1"/>
  <c r="O517" i="1"/>
  <c r="O518" i="1" a="1"/>
  <c r="O518" i="1"/>
  <c r="O519" i="1" a="1"/>
  <c r="O519" i="1"/>
  <c r="O520" i="1" a="1"/>
  <c r="O520" i="1"/>
  <c r="O521" i="1" a="1"/>
  <c r="O521" i="1"/>
  <c r="O522" i="1" a="1"/>
  <c r="O522" i="1"/>
  <c r="O523" i="1" a="1"/>
  <c r="O523" i="1"/>
  <c r="O524" i="1" a="1"/>
  <c r="O524" i="1"/>
  <c r="O525" i="1" a="1"/>
  <c r="O525" i="1"/>
  <c r="O526" i="1" a="1"/>
  <c r="O526" i="1"/>
  <c r="O527" i="1" a="1"/>
  <c r="O527" i="1"/>
  <c r="O528" i="1" a="1"/>
  <c r="O528" i="1"/>
  <c r="O529" i="1" a="1"/>
  <c r="O529" i="1"/>
  <c r="O530" i="1" a="1"/>
  <c r="O530" i="1"/>
  <c r="O531" i="1" a="1"/>
  <c r="O531" i="1"/>
  <c r="O532" i="1" a="1"/>
  <c r="O532" i="1"/>
  <c r="O533" i="1" a="1"/>
  <c r="O533" i="1"/>
  <c r="O534" i="1" a="1"/>
  <c r="O534" i="1"/>
  <c r="O535" i="1" a="1"/>
  <c r="O535" i="1"/>
  <c r="O536" i="1" a="1"/>
  <c r="O536" i="1"/>
  <c r="O537" i="1" a="1"/>
  <c r="O537" i="1"/>
  <c r="O538" i="1" a="1"/>
  <c r="O538" i="1"/>
  <c r="O539" i="1" a="1"/>
  <c r="O539" i="1"/>
  <c r="O540" i="1" a="1"/>
  <c r="O540" i="1"/>
  <c r="O541" i="1" a="1"/>
  <c r="O541" i="1"/>
  <c r="O542" i="1" a="1"/>
  <c r="O542" i="1"/>
  <c r="O543" i="1" a="1"/>
  <c r="O543" i="1"/>
  <c r="O544" i="1" a="1"/>
  <c r="O544" i="1"/>
  <c r="O545" i="1" a="1"/>
  <c r="O545" i="1"/>
  <c r="O546" i="1" a="1"/>
  <c r="O546" i="1"/>
  <c r="O547" i="1" a="1"/>
  <c r="O547" i="1"/>
  <c r="O548" i="1" a="1"/>
  <c r="O548" i="1"/>
  <c r="O549" i="1" a="1"/>
  <c r="O549" i="1"/>
  <c r="O550" i="1" a="1"/>
  <c r="O550" i="1"/>
  <c r="O551" i="1" a="1"/>
  <c r="O551" i="1"/>
  <c r="O552" i="1" a="1"/>
  <c r="O552" i="1"/>
  <c r="O553" i="1" a="1"/>
  <c r="O553" i="1"/>
  <c r="O554" i="1" a="1"/>
  <c r="O554" i="1"/>
  <c r="O555" i="1" a="1"/>
  <c r="O555" i="1"/>
  <c r="O556" i="1" a="1"/>
  <c r="O556" i="1"/>
  <c r="O557" i="1" a="1"/>
  <c r="O557" i="1"/>
  <c r="O558" i="1" a="1"/>
  <c r="O558" i="1"/>
  <c r="O559" i="1" a="1"/>
  <c r="O559" i="1"/>
  <c r="O560" i="1" a="1"/>
  <c r="O560" i="1"/>
  <c r="O561" i="1" a="1"/>
  <c r="O561" i="1"/>
  <c r="O562" i="1" a="1"/>
  <c r="O562" i="1"/>
  <c r="O563" i="1" a="1"/>
  <c r="O563" i="1"/>
  <c r="O564" i="1" a="1"/>
  <c r="O564" i="1"/>
  <c r="O565" i="1" a="1"/>
  <c r="O565" i="1"/>
  <c r="O566" i="1" a="1"/>
  <c r="O566" i="1"/>
  <c r="O567" i="1" a="1"/>
  <c r="O567" i="1"/>
  <c r="O568" i="1" a="1"/>
  <c r="O568" i="1"/>
  <c r="O569" i="1" a="1"/>
  <c r="O569" i="1"/>
  <c r="O570" i="1" a="1"/>
  <c r="O570" i="1"/>
  <c r="O571" i="1" a="1"/>
  <c r="O571" i="1"/>
  <c r="O572" i="1" a="1"/>
  <c r="O572" i="1"/>
  <c r="O573" i="1" a="1"/>
  <c r="O573" i="1"/>
  <c r="O574" i="1" a="1"/>
  <c r="O574" i="1"/>
  <c r="O575" i="1" a="1"/>
  <c r="O575" i="1"/>
  <c r="O576" i="1" a="1"/>
  <c r="O576" i="1"/>
  <c r="O577" i="1" a="1"/>
  <c r="O577" i="1"/>
  <c r="O578" i="1" a="1"/>
  <c r="O578" i="1"/>
  <c r="O579" i="1" a="1"/>
  <c r="O579" i="1"/>
  <c r="O580" i="1" a="1"/>
  <c r="O580" i="1"/>
  <c r="O581" i="1" a="1"/>
  <c r="O581" i="1"/>
  <c r="O582" i="1" a="1"/>
  <c r="O582" i="1"/>
  <c r="O583" i="1" a="1"/>
  <c r="O583" i="1"/>
  <c r="O584" i="1" a="1"/>
  <c r="O584" i="1"/>
  <c r="O585" i="1" a="1"/>
  <c r="O585" i="1"/>
  <c r="O586" i="1" a="1"/>
  <c r="O586" i="1"/>
  <c r="O587" i="1" a="1"/>
  <c r="O587" i="1"/>
  <c r="O588" i="1" a="1"/>
  <c r="O588" i="1"/>
  <c r="O589" i="1" a="1"/>
  <c r="O589" i="1"/>
  <c r="O590" i="1" a="1"/>
  <c r="O590" i="1"/>
  <c r="O591" i="1" a="1"/>
  <c r="O591" i="1"/>
  <c r="O592" i="1" a="1"/>
  <c r="O592" i="1"/>
  <c r="O593" i="1" a="1"/>
  <c r="O593" i="1"/>
  <c r="O594" i="1" a="1"/>
  <c r="O594" i="1"/>
  <c r="O595" i="1" a="1"/>
  <c r="O595" i="1"/>
  <c r="O596" i="1" a="1"/>
  <c r="O596" i="1"/>
  <c r="O597" i="1" a="1"/>
  <c r="O597" i="1"/>
  <c r="O598" i="1" a="1"/>
  <c r="O598" i="1"/>
  <c r="O599" i="1" a="1"/>
  <c r="O599" i="1"/>
  <c r="O600" i="1" a="1"/>
  <c r="O600" i="1"/>
  <c r="O601" i="1" a="1"/>
  <c r="O601" i="1"/>
  <c r="O602" i="1" a="1"/>
  <c r="O602" i="1"/>
  <c r="O603" i="1" a="1"/>
  <c r="O603" i="1"/>
  <c r="O604" i="1" a="1"/>
  <c r="O604" i="1"/>
  <c r="O605" i="1" a="1"/>
  <c r="O605" i="1"/>
  <c r="O606" i="1" a="1"/>
  <c r="O606" i="1"/>
  <c r="O607" i="1" a="1"/>
  <c r="O607" i="1"/>
  <c r="O608" i="1" a="1"/>
  <c r="O608" i="1"/>
  <c r="O609" i="1" a="1"/>
  <c r="O609" i="1"/>
  <c r="O610" i="1" a="1"/>
  <c r="O610" i="1"/>
  <c r="O611" i="1" a="1"/>
  <c r="O611" i="1"/>
  <c r="O612" i="1" a="1"/>
  <c r="O612" i="1"/>
  <c r="O613" i="1" a="1"/>
  <c r="O613" i="1"/>
  <c r="O614" i="1" a="1"/>
  <c r="O614" i="1"/>
  <c r="O615" i="1" a="1"/>
  <c r="O615" i="1"/>
  <c r="O616" i="1" a="1"/>
  <c r="O616" i="1"/>
  <c r="O617" i="1" a="1"/>
  <c r="O617" i="1"/>
  <c r="O618" i="1" a="1"/>
  <c r="O618" i="1"/>
  <c r="O619" i="1" a="1"/>
  <c r="O619" i="1"/>
  <c r="O620" i="1" a="1"/>
  <c r="O620" i="1"/>
  <c r="O621" i="1" a="1"/>
  <c r="O621" i="1"/>
  <c r="O622" i="1" a="1"/>
  <c r="O622" i="1"/>
  <c r="O623" i="1" a="1"/>
  <c r="O623" i="1"/>
  <c r="O624" i="1" a="1"/>
  <c r="O624" i="1"/>
  <c r="O625" i="1" a="1"/>
  <c r="O625" i="1"/>
  <c r="O626" i="1" a="1"/>
  <c r="O626" i="1"/>
  <c r="O627" i="1" a="1"/>
  <c r="O627" i="1"/>
  <c r="O628" i="1" a="1"/>
  <c r="O628" i="1"/>
  <c r="O629" i="1" a="1"/>
  <c r="O629" i="1"/>
  <c r="O630" i="1" a="1"/>
  <c r="O630" i="1"/>
  <c r="O631" i="1" a="1"/>
  <c r="O631" i="1"/>
  <c r="O632" i="1" a="1"/>
  <c r="O632" i="1"/>
  <c r="O633" i="1" a="1"/>
  <c r="O633" i="1"/>
  <c r="O634" i="1" a="1"/>
  <c r="O634" i="1"/>
  <c r="O635" i="1" a="1"/>
  <c r="O635" i="1"/>
  <c r="O636" i="1" a="1"/>
  <c r="O636" i="1"/>
  <c r="O637" i="1" a="1"/>
  <c r="O637" i="1"/>
  <c r="O638" i="1" a="1"/>
  <c r="O638" i="1"/>
  <c r="O639" i="1" a="1"/>
  <c r="O639" i="1"/>
  <c r="O640" i="1" a="1"/>
  <c r="O640" i="1"/>
  <c r="O641" i="1" a="1"/>
  <c r="O641" i="1"/>
  <c r="O642" i="1" a="1"/>
  <c r="O642" i="1"/>
  <c r="O643" i="1" a="1"/>
  <c r="O643" i="1"/>
  <c r="O644" i="1" a="1"/>
  <c r="O644" i="1"/>
  <c r="O645" i="1" a="1"/>
  <c r="O645" i="1"/>
  <c r="O646" i="1" a="1"/>
  <c r="O646" i="1"/>
  <c r="O647" i="1" a="1"/>
  <c r="O647" i="1"/>
  <c r="O648" i="1" a="1"/>
  <c r="O648" i="1"/>
  <c r="O649" i="1" a="1"/>
  <c r="O649" i="1"/>
  <c r="O650" i="1" a="1"/>
  <c r="O650" i="1"/>
  <c r="O651" i="1" a="1"/>
  <c r="O651" i="1"/>
  <c r="O652" i="1" a="1"/>
  <c r="O652" i="1"/>
  <c r="O653" i="1" a="1"/>
  <c r="O653" i="1"/>
  <c r="O654" i="1" a="1"/>
  <c r="O654" i="1"/>
  <c r="O655" i="1" a="1"/>
  <c r="O655" i="1"/>
  <c r="O656" i="1" a="1"/>
  <c r="O656" i="1"/>
  <c r="O657" i="1" a="1"/>
  <c r="O657" i="1"/>
  <c r="O658" i="1" a="1"/>
  <c r="O658" i="1"/>
  <c r="O659" i="1" a="1"/>
  <c r="O659" i="1"/>
  <c r="O660" i="1" a="1"/>
  <c r="O660" i="1"/>
  <c r="O661" i="1" a="1"/>
  <c r="O661" i="1"/>
  <c r="O662" i="1" a="1"/>
  <c r="O662" i="1"/>
  <c r="O663" i="1" a="1"/>
  <c r="O663" i="1"/>
  <c r="O664" i="1" a="1"/>
  <c r="O664" i="1"/>
  <c r="O665" i="1" a="1"/>
  <c r="O665" i="1"/>
  <c r="O666" i="1" a="1"/>
  <c r="O666" i="1"/>
  <c r="O667" i="1" a="1"/>
  <c r="O667" i="1"/>
  <c r="O668" i="1" a="1"/>
  <c r="O668" i="1"/>
  <c r="O669" i="1" a="1"/>
  <c r="O669" i="1"/>
  <c r="O670" i="1" a="1"/>
  <c r="O670" i="1"/>
  <c r="O671" i="1" a="1"/>
  <c r="O671" i="1"/>
  <c r="O672" i="1" a="1"/>
  <c r="O672" i="1"/>
  <c r="O673" i="1" a="1"/>
  <c r="O673" i="1"/>
  <c r="O674" i="1" a="1"/>
  <c r="O674" i="1"/>
  <c r="O675" i="1" a="1"/>
  <c r="O675" i="1"/>
  <c r="O676" i="1" a="1"/>
  <c r="O676" i="1"/>
  <c r="O677" i="1" a="1"/>
  <c r="O677" i="1"/>
  <c r="O678" i="1" a="1"/>
  <c r="O678" i="1"/>
  <c r="O679" i="1" a="1"/>
  <c r="O679" i="1"/>
  <c r="O680" i="1" a="1"/>
  <c r="O680" i="1"/>
  <c r="O681" i="1" a="1"/>
  <c r="O681" i="1"/>
  <c r="O682" i="1" a="1"/>
  <c r="O682" i="1"/>
  <c r="O683" i="1" a="1"/>
  <c r="O683" i="1"/>
  <c r="O684" i="1" a="1"/>
  <c r="O684" i="1"/>
  <c r="O685" i="1" a="1"/>
  <c r="O685" i="1"/>
  <c r="O686" i="1" a="1"/>
  <c r="O686" i="1"/>
  <c r="O687" i="1" a="1"/>
  <c r="O687" i="1"/>
  <c r="O688" i="1" a="1"/>
  <c r="O688" i="1"/>
  <c r="O689" i="1" a="1"/>
  <c r="O689" i="1"/>
  <c r="O690" i="1" a="1"/>
  <c r="O690" i="1"/>
  <c r="O691" i="1" a="1"/>
  <c r="O691" i="1"/>
  <c r="O692" i="1" a="1"/>
  <c r="O692" i="1"/>
  <c r="O693" i="1" a="1"/>
  <c r="O693" i="1"/>
  <c r="O694" i="1" a="1"/>
  <c r="O694" i="1"/>
  <c r="O695" i="1" a="1"/>
  <c r="O695" i="1"/>
  <c r="O696" i="1" a="1"/>
  <c r="O696" i="1"/>
  <c r="O697" i="1" a="1"/>
  <c r="O697" i="1"/>
  <c r="O698" i="1" a="1"/>
  <c r="O698" i="1"/>
  <c r="O699" i="1" a="1"/>
  <c r="O699" i="1"/>
  <c r="O700" i="1" a="1"/>
  <c r="O700" i="1"/>
  <c r="O701" i="1" a="1"/>
  <c r="O701" i="1"/>
  <c r="O702" i="1" a="1"/>
  <c r="O702" i="1"/>
  <c r="O703" i="1" a="1"/>
  <c r="O703" i="1"/>
  <c r="O704" i="1" a="1"/>
  <c r="O704" i="1"/>
  <c r="O705" i="1" a="1"/>
  <c r="O705" i="1"/>
  <c r="O706" i="1" a="1"/>
  <c r="O706" i="1"/>
  <c r="O707" i="1" a="1"/>
  <c r="O707" i="1"/>
  <c r="O708" i="1" a="1"/>
  <c r="O708" i="1"/>
  <c r="O709" i="1" a="1"/>
  <c r="O709" i="1"/>
  <c r="O710" i="1" a="1"/>
  <c r="O710" i="1"/>
  <c r="O711" i="1" a="1"/>
  <c r="O711" i="1"/>
  <c r="O712" i="1" a="1"/>
  <c r="O712" i="1"/>
  <c r="O713" i="1" a="1"/>
  <c r="O713" i="1"/>
  <c r="O714" i="1" a="1"/>
  <c r="O714" i="1"/>
  <c r="O715" i="1" a="1"/>
  <c r="O715" i="1"/>
  <c r="O716" i="1" a="1"/>
  <c r="O716" i="1"/>
  <c r="O717" i="1" a="1"/>
  <c r="O717" i="1"/>
  <c r="O718" i="1" a="1"/>
  <c r="O718" i="1"/>
  <c r="O719" i="1" a="1"/>
  <c r="O719" i="1"/>
  <c r="O720" i="1" a="1"/>
  <c r="O720" i="1"/>
  <c r="O721" i="1" a="1"/>
  <c r="O721" i="1"/>
  <c r="O722" i="1" a="1"/>
  <c r="O722" i="1"/>
  <c r="O723" i="1" a="1"/>
  <c r="O723" i="1"/>
  <c r="O724" i="1" a="1"/>
  <c r="O724" i="1"/>
  <c r="O725" i="1" a="1"/>
  <c r="O725" i="1"/>
  <c r="O726" i="1" a="1"/>
  <c r="O726" i="1"/>
  <c r="O727" i="1" a="1"/>
  <c r="O727" i="1"/>
  <c r="O728" i="1" a="1"/>
  <c r="O728" i="1"/>
  <c r="O729" i="1" a="1"/>
  <c r="O729" i="1"/>
  <c r="O730" i="1" a="1"/>
  <c r="O730" i="1"/>
  <c r="O731" i="1" a="1"/>
  <c r="O731" i="1"/>
  <c r="O732" i="1" a="1"/>
  <c r="O732" i="1"/>
  <c r="O733" i="1" a="1"/>
  <c r="O733" i="1"/>
  <c r="O734" i="1" a="1"/>
  <c r="O734" i="1"/>
  <c r="O735" i="1" a="1"/>
  <c r="O735" i="1"/>
  <c r="O736" i="1" a="1"/>
  <c r="O736" i="1"/>
  <c r="O737" i="1" a="1"/>
  <c r="O737" i="1"/>
  <c r="O738" i="1" a="1"/>
  <c r="O738" i="1"/>
  <c r="O739" i="1" a="1"/>
  <c r="O739" i="1"/>
  <c r="O740" i="1" a="1"/>
  <c r="O740" i="1"/>
  <c r="O741" i="1" a="1"/>
  <c r="O741" i="1"/>
  <c r="O742" i="1" a="1"/>
  <c r="O742" i="1"/>
  <c r="O743" i="1" a="1"/>
  <c r="O743" i="1"/>
  <c r="O744" i="1" a="1"/>
  <c r="O744" i="1"/>
  <c r="O745" i="1" a="1"/>
  <c r="O745" i="1"/>
  <c r="O746" i="1" a="1"/>
  <c r="O746" i="1"/>
  <c r="O747" i="1" a="1"/>
  <c r="O747" i="1"/>
  <c r="O748" i="1" a="1"/>
  <c r="O748" i="1"/>
  <c r="O749" i="1" a="1"/>
  <c r="O749" i="1"/>
  <c r="O750" i="1" a="1"/>
  <c r="O750" i="1"/>
  <c r="O751" i="1" a="1"/>
  <c r="O751" i="1"/>
  <c r="O752" i="1" a="1"/>
  <c r="O752" i="1"/>
  <c r="O753" i="1" a="1"/>
  <c r="O753" i="1"/>
  <c r="O754" i="1" a="1"/>
  <c r="O754" i="1"/>
  <c r="O755" i="1" a="1"/>
  <c r="O755" i="1"/>
  <c r="O756" i="1" a="1"/>
  <c r="O756" i="1"/>
  <c r="O757" i="1" a="1"/>
  <c r="O757" i="1"/>
  <c r="O758" i="1" a="1"/>
  <c r="O758" i="1"/>
  <c r="O759" i="1" a="1"/>
  <c r="O759" i="1"/>
  <c r="O760" i="1" a="1"/>
  <c r="O760" i="1"/>
  <c r="O761" i="1" a="1"/>
  <c r="O761" i="1"/>
  <c r="O762" i="1" a="1"/>
  <c r="O762" i="1"/>
  <c r="O763" i="1" a="1"/>
  <c r="O763" i="1"/>
  <c r="O764" i="1" a="1"/>
  <c r="O764" i="1"/>
  <c r="O765" i="1" a="1"/>
  <c r="O765" i="1"/>
  <c r="O766" i="1" a="1"/>
  <c r="O766" i="1"/>
  <c r="O767" i="1" a="1"/>
  <c r="O767" i="1"/>
  <c r="O768" i="1" a="1"/>
  <c r="O768" i="1"/>
  <c r="O769" i="1" a="1"/>
  <c r="O769" i="1"/>
  <c r="O770" i="1" a="1"/>
  <c r="O770" i="1"/>
  <c r="O771" i="1" a="1"/>
  <c r="O771" i="1"/>
  <c r="O772" i="1" a="1"/>
  <c r="O772" i="1"/>
  <c r="O773" i="1" a="1"/>
  <c r="O773" i="1"/>
  <c r="O774" i="1" a="1"/>
  <c r="O774" i="1"/>
  <c r="O775" i="1" a="1"/>
  <c r="O775" i="1"/>
  <c r="O776" i="1" a="1"/>
  <c r="O776" i="1"/>
  <c r="O777" i="1" a="1"/>
  <c r="O777" i="1"/>
  <c r="O778" i="1" a="1"/>
  <c r="O778" i="1"/>
  <c r="O779" i="1" a="1"/>
  <c r="O779" i="1"/>
  <c r="O780" i="1" a="1"/>
  <c r="O780" i="1"/>
  <c r="O781" i="1" a="1"/>
  <c r="O781" i="1"/>
  <c r="O782" i="1" a="1"/>
  <c r="O782" i="1"/>
  <c r="O783" i="1" a="1"/>
  <c r="O783" i="1"/>
  <c r="O784" i="1" a="1"/>
  <c r="O784" i="1"/>
  <c r="O785" i="1" a="1"/>
  <c r="O785" i="1"/>
  <c r="O786" i="1" a="1"/>
  <c r="O786" i="1"/>
  <c r="O787" i="1" a="1"/>
  <c r="O787" i="1"/>
  <c r="O788" i="1" a="1"/>
  <c r="O788" i="1"/>
  <c r="O789" i="1" a="1"/>
  <c r="O789" i="1"/>
  <c r="O790" i="1" a="1"/>
  <c r="O790" i="1"/>
  <c r="O791" i="1" a="1"/>
  <c r="O791" i="1"/>
  <c r="O792" i="1" a="1"/>
  <c r="O792" i="1"/>
  <c r="O793" i="1" a="1"/>
  <c r="O793" i="1"/>
  <c r="O794" i="1" a="1"/>
  <c r="O794" i="1"/>
  <c r="O795" i="1" a="1"/>
  <c r="O795" i="1"/>
  <c r="O796" i="1" a="1"/>
  <c r="O796" i="1"/>
  <c r="O797" i="1" a="1"/>
  <c r="O797" i="1"/>
  <c r="O798" i="1" a="1"/>
  <c r="O798" i="1"/>
  <c r="O799" i="1" a="1"/>
  <c r="O799" i="1"/>
  <c r="O800" i="1" a="1"/>
  <c r="O800" i="1"/>
  <c r="O801" i="1" a="1"/>
  <c r="O801" i="1"/>
  <c r="O802" i="1" a="1"/>
  <c r="O802" i="1"/>
  <c r="O803" i="1" a="1"/>
  <c r="O803" i="1"/>
  <c r="O804" i="1" a="1"/>
  <c r="O804" i="1"/>
  <c r="O805" i="1" a="1"/>
  <c r="O805" i="1"/>
  <c r="O806" i="1" a="1"/>
  <c r="O806" i="1"/>
  <c r="O807" i="1" a="1"/>
  <c r="O807" i="1"/>
  <c r="O808" i="1" a="1"/>
  <c r="O808" i="1"/>
  <c r="O809" i="1" a="1"/>
  <c r="O809" i="1"/>
  <c r="O810" i="1" a="1"/>
  <c r="O810" i="1"/>
  <c r="O811" i="1" a="1"/>
  <c r="O811" i="1"/>
  <c r="O812" i="1" a="1"/>
  <c r="O812" i="1"/>
  <c r="O813" i="1" a="1"/>
  <c r="O813" i="1"/>
  <c r="O814" i="1" a="1"/>
  <c r="O814" i="1"/>
  <c r="O815" i="1" a="1"/>
  <c r="O815" i="1"/>
  <c r="O816" i="1" a="1"/>
  <c r="O816" i="1"/>
  <c r="O817" i="1" a="1"/>
  <c r="O817" i="1"/>
  <c r="O818" i="1" a="1"/>
  <c r="O818" i="1"/>
  <c r="O819" i="1" a="1"/>
  <c r="O819" i="1"/>
  <c r="O820" i="1" a="1"/>
  <c r="O820" i="1"/>
  <c r="O821" i="1" a="1"/>
  <c r="O821" i="1"/>
  <c r="O822" i="1" a="1"/>
  <c r="O822" i="1"/>
  <c r="O823" i="1" a="1"/>
  <c r="O823" i="1"/>
  <c r="O824" i="1" a="1"/>
  <c r="O824" i="1"/>
  <c r="O825" i="1" a="1"/>
  <c r="O825" i="1"/>
  <c r="O826" i="1" a="1"/>
  <c r="O826" i="1"/>
  <c r="O827" i="1" a="1"/>
  <c r="O827" i="1"/>
  <c r="O828" i="1" a="1"/>
  <c r="O828" i="1"/>
  <c r="O829" i="1" a="1"/>
  <c r="O829" i="1"/>
  <c r="O830" i="1" a="1"/>
  <c r="O830" i="1"/>
  <c r="O831" i="1" a="1"/>
  <c r="O831" i="1"/>
  <c r="O832" i="1" a="1"/>
  <c r="O832" i="1"/>
  <c r="O833" i="1" a="1"/>
  <c r="O833" i="1"/>
  <c r="O2" i="1" a="1"/>
  <c r="O2" i="1"/>
  <c r="D5" i="5"/>
  <c r="D4" i="5"/>
  <c r="D3" i="5"/>
  <c r="C3" i="5"/>
  <c r="D2" i="5"/>
  <c r="C2" i="5"/>
  <c r="B3" i="5"/>
  <c r="B5" i="5"/>
  <c r="B4" i="5"/>
  <c r="B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<sst xmlns="http://schemas.openxmlformats.org/spreadsheetml/2006/main" count="6076" uniqueCount="2568">
  <si>
    <t xml:space="preserve">Employment Title </t>
  </si>
  <si>
    <t>2024 National Employment Matrix (SOC) code</t>
  </si>
  <si>
    <t>SOC Code Category</t>
  </si>
  <si>
    <t>Occupation type</t>
  </si>
  <si>
    <t xml:space="preserve">AIOE </t>
  </si>
  <si>
    <t>Employment, 2024</t>
  </si>
  <si>
    <t>Employment, 2034</t>
  </si>
  <si>
    <t>Employment distribution, percent, 2024</t>
  </si>
  <si>
    <t>Employment distribution, percent, 2034</t>
  </si>
  <si>
    <t>Employment change, numeric, 2024–34</t>
  </si>
  <si>
    <t>Employment change, percent, 2024–34</t>
  </si>
  <si>
    <t>Percent self employed, 2024</t>
  </si>
  <si>
    <t>Occupational openings, 2024–34 annual average</t>
  </si>
  <si>
    <t>Median annual wage, dollars, 2024[1]</t>
  </si>
  <si>
    <t>Wage Category</t>
  </si>
  <si>
    <t>Typical education needed for entry</t>
  </si>
  <si>
    <t>Education administrators, postsecondary</t>
  </si>
  <si>
    <t>11-9033</t>
  </si>
  <si>
    <t>11</t>
  </si>
  <si>
    <t>Line item</t>
  </si>
  <si>
    <t>Master's degree</t>
  </si>
  <si>
    <t>Financial managers</t>
  </si>
  <si>
    <t>11-3031</t>
  </si>
  <si>
    <t>Bachelor's degree</t>
  </si>
  <si>
    <t>Purchasing managers</t>
  </si>
  <si>
    <t>11-3061</t>
  </si>
  <si>
    <t>Chief executives</t>
  </si>
  <si>
    <t>11-1011</t>
  </si>
  <si>
    <t>Natural sciences managers</t>
  </si>
  <si>
    <t>11-9121</t>
  </si>
  <si>
    <t>—</t>
  </si>
  <si>
    <t>Human resources managers</t>
  </si>
  <si>
    <t>11-3121</t>
  </si>
  <si>
    <t>Marketing managers</t>
  </si>
  <si>
    <t>11-2021</t>
  </si>
  <si>
    <t>Compensation and benefits managers</t>
  </si>
  <si>
    <t>11-3111</t>
  </si>
  <si>
    <t>Advertising and promotions managers</t>
  </si>
  <si>
    <t>11-2011</t>
  </si>
  <si>
    <t>Training and development managers</t>
  </si>
  <si>
    <t>11-3131</t>
  </si>
  <si>
    <t>Sales managers</t>
  </si>
  <si>
    <t>11-2022</t>
  </si>
  <si>
    <t>Medical and health services managers</t>
  </si>
  <si>
    <t>11-9111</t>
  </si>
  <si>
    <t>Property, real estate, and community association managers</t>
  </si>
  <si>
    <t>11-9141</t>
  </si>
  <si>
    <t>High school diploma or equivalent</t>
  </si>
  <si>
    <t>Social and community service managers</t>
  </si>
  <si>
    <t>11-9151</t>
  </si>
  <si>
    <t>Computer and information systems managers</t>
  </si>
  <si>
    <t>11-3021</t>
  </si>
  <si>
    <t>Education administrators, kindergarten through secondary</t>
  </si>
  <si>
    <t>11-9032</t>
  </si>
  <si>
    <t>Emergency management directors</t>
  </si>
  <si>
    <t>11-9161</t>
  </si>
  <si>
    <t>Construction managers</t>
  </si>
  <si>
    <t>11-9021</t>
  </si>
  <si>
    <t>Managers, all other</t>
  </si>
  <si>
    <t>11-9199</t>
  </si>
  <si>
    <t>Transportation, storage, and distribution managers</t>
  </si>
  <si>
    <t>11-3071</t>
  </si>
  <si>
    <t>Education and childcare administrators, preschool and daycare</t>
  </si>
  <si>
    <t>11-9031</t>
  </si>
  <si>
    <t>Architectural and engineering managers</t>
  </si>
  <si>
    <t>11-9041</t>
  </si>
  <si>
    <t>Gambling managers</t>
  </si>
  <si>
    <t>11-9071</t>
  </si>
  <si>
    <t>Postmasters and mail superintendents</t>
  </si>
  <si>
    <t>11-9131</t>
  </si>
  <si>
    <t>General and operations managers</t>
  </si>
  <si>
    <t>11-1021</t>
  </si>
  <si>
    <t>Industrial production managers</t>
  </si>
  <si>
    <t>11-3051</t>
  </si>
  <si>
    <t>Lodging managers</t>
  </si>
  <si>
    <t>11-9081</t>
  </si>
  <si>
    <t>Education administrators, all other</t>
  </si>
  <si>
    <t>11-9039</t>
  </si>
  <si>
    <t>Legislators</t>
  </si>
  <si>
    <t>11-1031</t>
  </si>
  <si>
    <t>Public relations managers</t>
  </si>
  <si>
    <t>11-2032</t>
  </si>
  <si>
    <t>Fundraising managers</t>
  </si>
  <si>
    <t>11-2033</t>
  </si>
  <si>
    <t>Administrative services managers</t>
  </si>
  <si>
    <t>11-3012</t>
  </si>
  <si>
    <t>Facilities managers</t>
  </si>
  <si>
    <t>11-3013</t>
  </si>
  <si>
    <t>Entertainment and recreation managers, except gambling</t>
  </si>
  <si>
    <t>11-9072</t>
  </si>
  <si>
    <t>Funeral home managers</t>
  </si>
  <si>
    <t>11-9171</t>
  </si>
  <si>
    <t>Associate's degree</t>
  </si>
  <si>
    <t>Personal service managers, all other</t>
  </si>
  <si>
    <t>11-9179</t>
  </si>
  <si>
    <t>Food service managers</t>
  </si>
  <si>
    <t>11-9051</t>
  </si>
  <si>
    <t>Farmers, ranchers, and other agricultural managers</t>
  </si>
  <si>
    <t>11-9013</t>
  </si>
  <si>
    <t>Financial examiners</t>
  </si>
  <si>
    <t>13-2061</t>
  </si>
  <si>
    <t>13</t>
  </si>
  <si>
    <t>Budget analysts</t>
  </si>
  <si>
    <t>13-2031</t>
  </si>
  <si>
    <t>Accountants and auditors</t>
  </si>
  <si>
    <t>13-2011</t>
  </si>
  <si>
    <t>Compensation, benefits, and job analysis specialists</t>
  </si>
  <si>
    <t>13-1141</t>
  </si>
  <si>
    <t>Management analysts</t>
  </si>
  <si>
    <t>13-1111</t>
  </si>
  <si>
    <t>Market research analysts and marketing specialists</t>
  </si>
  <si>
    <t>13-1161</t>
  </si>
  <si>
    <t>Personal financial advisors</t>
  </si>
  <si>
    <t>13-2052</t>
  </si>
  <si>
    <t>Loan officers</t>
  </si>
  <si>
    <t>13-2072</t>
  </si>
  <si>
    <t>Credit counselors</t>
  </si>
  <si>
    <t>13-2071</t>
  </si>
  <si>
    <t>Financial and investment analysts</t>
  </si>
  <si>
    <t>13-2051</t>
  </si>
  <si>
    <t>Cost estimators</t>
  </si>
  <si>
    <t>13-1051</t>
  </si>
  <si>
    <t>Tax examiners and collectors, and revenue agents</t>
  </si>
  <si>
    <t>13-2081</t>
  </si>
  <si>
    <t>Financial specialists, all other</t>
  </si>
  <si>
    <t>13-2099</t>
  </si>
  <si>
    <t>Human resources specialists</t>
  </si>
  <si>
    <t>13-1071</t>
  </si>
  <si>
    <t>Credit analysts</t>
  </si>
  <si>
    <t>13-2041</t>
  </si>
  <si>
    <t>Labor relations specialists</t>
  </si>
  <si>
    <t>13-1075</t>
  </si>
  <si>
    <t>Insurance underwriters</t>
  </si>
  <si>
    <t>13-2053</t>
  </si>
  <si>
    <t>Logisticians</t>
  </si>
  <si>
    <t>13-1081</t>
  </si>
  <si>
    <t>Tax preparers</t>
  </si>
  <si>
    <t>13-2082</t>
  </si>
  <si>
    <t>Claims adjusters, examiners, and investigators</t>
  </si>
  <si>
    <t>13-1031</t>
  </si>
  <si>
    <t>Fundraisers</t>
  </si>
  <si>
    <t>13-1131</t>
  </si>
  <si>
    <t>Training and development specialists</t>
  </si>
  <si>
    <t>13-1151</t>
  </si>
  <si>
    <t>Agents and business managers of artists, performers, and athletes</t>
  </si>
  <si>
    <t>13-1011</t>
  </si>
  <si>
    <t>Business operations specialists, all other</t>
  </si>
  <si>
    <t>13-1199</t>
  </si>
  <si>
    <t>Compliance officers</t>
  </si>
  <si>
    <t>13-1041</t>
  </si>
  <si>
    <t>Insurance appraisers, auto damage</t>
  </si>
  <si>
    <t>13-1032</t>
  </si>
  <si>
    <t>Postsecondary nondegree award</t>
  </si>
  <si>
    <t>Meeting, convention, and event planners</t>
  </si>
  <si>
    <t>13-1121</t>
  </si>
  <si>
    <t>Buyers and purchasing agents</t>
  </si>
  <si>
    <t>13-1020</t>
  </si>
  <si>
    <t>Project management specialists</t>
  </si>
  <si>
    <t>13-1082</t>
  </si>
  <si>
    <t>Property appraisers and assessors</t>
  </si>
  <si>
    <t>13-2020</t>
  </si>
  <si>
    <t>Financial risk specialists</t>
  </si>
  <si>
    <t>13-2054</t>
  </si>
  <si>
    <t>Farm labor contractors</t>
  </si>
  <si>
    <t>13-1074</t>
  </si>
  <si>
    <t>No formal educational credential</t>
  </si>
  <si>
    <t>Actuaries</t>
  </si>
  <si>
    <t>15-2011</t>
  </si>
  <si>
    <t>15</t>
  </si>
  <si>
    <t>Mathematicians</t>
  </si>
  <si>
    <t>15-2021</t>
  </si>
  <si>
    <t>Operations research analysts</t>
  </si>
  <si>
    <t>15-2031</t>
  </si>
  <si>
    <t>Statisticians</t>
  </si>
  <si>
    <t>15-2041</t>
  </si>
  <si>
    <t>Computer systems analysts</t>
  </si>
  <si>
    <t>15-1211</t>
  </si>
  <si>
    <t>Information security analysts</t>
  </si>
  <si>
    <t>15-1212</t>
  </si>
  <si>
    <t>Computer and information research scientists</t>
  </si>
  <si>
    <t>15-1221</t>
  </si>
  <si>
    <t>Computer network support specialists</t>
  </si>
  <si>
    <t>15-1231</t>
  </si>
  <si>
    <t>Computer user support specialists</t>
  </si>
  <si>
    <t>15-1232</t>
  </si>
  <si>
    <t>Some college, no degree</t>
  </si>
  <si>
    <t>Computer network architects</t>
  </si>
  <si>
    <t>15-1241</t>
  </si>
  <si>
    <t>Database administrators</t>
  </si>
  <si>
    <t>15-1242</t>
  </si>
  <si>
    <t>Database architects</t>
  </si>
  <si>
    <t>15-1243</t>
  </si>
  <si>
    <t>Network and computer systems administrators</t>
  </si>
  <si>
    <t>15-1244</t>
  </si>
  <si>
    <t>Computer programmers</t>
  </si>
  <si>
    <t>15-1251</t>
  </si>
  <si>
    <t>Software developers</t>
  </si>
  <si>
    <t>15-1252</t>
  </si>
  <si>
    <t>Software quality assurance analysts and testers</t>
  </si>
  <si>
    <t>15-1253</t>
  </si>
  <si>
    <t>Web developers</t>
  </si>
  <si>
    <t>15-1254</t>
  </si>
  <si>
    <t>Web and digital interface designers</t>
  </si>
  <si>
    <t>15-1255</t>
  </si>
  <si>
    <t>Computer occupations, all other</t>
  </si>
  <si>
    <t>15-1299</t>
  </si>
  <si>
    <t>Data scientists</t>
  </si>
  <si>
    <t>15-2051</t>
  </si>
  <si>
    <t>Mathematical science occupations, all other</t>
  </si>
  <si>
    <t>15-2099</t>
  </si>
  <si>
    <t>Mining and geological engineers, including mining safety engineers</t>
  </si>
  <si>
    <t>17-2151</t>
  </si>
  <si>
    <t>17</t>
  </si>
  <si>
    <t>Environmental engineers</t>
  </si>
  <si>
    <t>17-2081</t>
  </si>
  <si>
    <t>Chemical engineers</t>
  </si>
  <si>
    <t>17-2041</t>
  </si>
  <si>
    <t>Aerospace engineers</t>
  </si>
  <si>
    <t>17-2011</t>
  </si>
  <si>
    <t>Nuclear engineers</t>
  </si>
  <si>
    <t>17-2161</t>
  </si>
  <si>
    <t>Civil engineers</t>
  </si>
  <si>
    <t>17-2051</t>
  </si>
  <si>
    <t>Petroleum engineers</t>
  </si>
  <si>
    <t>17-2171</t>
  </si>
  <si>
    <t>Computer hardware engineers</t>
  </si>
  <si>
    <t>17-2061</t>
  </si>
  <si>
    <t>Industrial engineers</t>
  </si>
  <si>
    <t>17-2112</t>
  </si>
  <si>
    <t>Electrical engineers</t>
  </si>
  <si>
    <t>17-2071</t>
  </si>
  <si>
    <t>Architects, except landscape and naval</t>
  </si>
  <si>
    <t>17-1011</t>
  </si>
  <si>
    <t>Materials engineers</t>
  </si>
  <si>
    <t>17-2131</t>
  </si>
  <si>
    <t>Landscape architects</t>
  </si>
  <si>
    <t>17-1012</t>
  </si>
  <si>
    <t>Mechanical engineers</t>
  </si>
  <si>
    <t>17-2141</t>
  </si>
  <si>
    <t>Health and safety engineers, except mining safety engineers and inspectors</t>
  </si>
  <si>
    <t>17-2111</t>
  </si>
  <si>
    <t>Bioengineers and biomedical engineers</t>
  </si>
  <si>
    <t>17-2031</t>
  </si>
  <si>
    <t>Agricultural engineers</t>
  </si>
  <si>
    <t>17-2021</t>
  </si>
  <si>
    <t>Civil engineering technologists and technicians</t>
  </si>
  <si>
    <t>17-3022</t>
  </si>
  <si>
    <t>Architectural and civil drafters</t>
  </si>
  <si>
    <t>17-3011</t>
  </si>
  <si>
    <t>Electrical and electronics drafters</t>
  </si>
  <si>
    <t>17-3012</t>
  </si>
  <si>
    <t>Mechanical drafters</t>
  </si>
  <si>
    <t>17-3013</t>
  </si>
  <si>
    <t>Cartographers and photogrammetrists</t>
  </si>
  <si>
    <t>17-1021</t>
  </si>
  <si>
    <t>Engineers, all other</t>
  </si>
  <si>
    <t>17-2199</t>
  </si>
  <si>
    <t>Electronics engineers, except computer</t>
  </si>
  <si>
    <t>17-2072</t>
  </si>
  <si>
    <t>Industrial engineering technologists and technicians</t>
  </si>
  <si>
    <t>17-3026</t>
  </si>
  <si>
    <t>Marine engineers and naval architects</t>
  </si>
  <si>
    <t>17-2121</t>
  </si>
  <si>
    <t>Aerospace engineering and operations technologists and technicians</t>
  </si>
  <si>
    <t>17-3021</t>
  </si>
  <si>
    <t>Electrical and electronic engineering technologists and technicians</t>
  </si>
  <si>
    <t>17-3023</t>
  </si>
  <si>
    <t>Engineering technologists and technicians, except drafters, all other</t>
  </si>
  <si>
    <t>17-3029</t>
  </si>
  <si>
    <t>Surveyors</t>
  </si>
  <si>
    <t>17-1022</t>
  </si>
  <si>
    <t>Surveying and mapping technicians</t>
  </si>
  <si>
    <t>17-3031</t>
  </si>
  <si>
    <t>Environmental engineering technologists and technicians</t>
  </si>
  <si>
    <t>17-3025</t>
  </si>
  <si>
    <t>Drafters, all other</t>
  </si>
  <si>
    <t>17-3019</t>
  </si>
  <si>
    <t>Calibration technologists and technicians</t>
  </si>
  <si>
    <t>17-3028</t>
  </si>
  <si>
    <t>Mechanical engineering technologists and technicians</t>
  </si>
  <si>
    <t>17-3027</t>
  </si>
  <si>
    <t>Electro-mechanical and mechatronics technologists and technicians</t>
  </si>
  <si>
    <t>17-3024</t>
  </si>
  <si>
    <t>Geographers</t>
  </si>
  <si>
    <t>19-3092</t>
  </si>
  <si>
    <t>19</t>
  </si>
  <si>
    <t>Epidemiologists</t>
  </si>
  <si>
    <t>19-1041</t>
  </si>
  <si>
    <t>Survey researchers</t>
  </si>
  <si>
    <t>19-3022</t>
  </si>
  <si>
    <t>Political scientists</t>
  </si>
  <si>
    <t>19-3094</t>
  </si>
  <si>
    <t>Sociologists</t>
  </si>
  <si>
    <t>19-3041</t>
  </si>
  <si>
    <t>Economists</t>
  </si>
  <si>
    <t>19-3011</t>
  </si>
  <si>
    <t>Industrial-organizational psychologists</t>
  </si>
  <si>
    <t>19-3032</t>
  </si>
  <si>
    <t>Psychologists, all other</t>
  </si>
  <si>
    <t>19-3039</t>
  </si>
  <si>
    <t>Atmospheric and space scientists</t>
  </si>
  <si>
    <t>19-2021</t>
  </si>
  <si>
    <t>Astronomers</t>
  </si>
  <si>
    <t>19-2011</t>
  </si>
  <si>
    <t>Doctoral or professional degree</t>
  </si>
  <si>
    <t>Physicists</t>
  </si>
  <si>
    <t>19-2012</t>
  </si>
  <si>
    <t>Social scientists and related workers, all other</t>
  </si>
  <si>
    <t>19-3099</t>
  </si>
  <si>
    <t>Medical scientists, except epidemiologists</t>
  </si>
  <si>
    <t>19-1042</t>
  </si>
  <si>
    <t>Urban and regional planners</t>
  </si>
  <si>
    <t>19-3051</t>
  </si>
  <si>
    <t>Social science research assistants</t>
  </si>
  <si>
    <t>19-4061</t>
  </si>
  <si>
    <t>Physical scientists, all other</t>
  </si>
  <si>
    <t>19-2099</t>
  </si>
  <si>
    <t>Historians</t>
  </si>
  <si>
    <t>19-3093</t>
  </si>
  <si>
    <t>Animal scientists</t>
  </si>
  <si>
    <t>19-1011</t>
  </si>
  <si>
    <t>Materials scientists</t>
  </si>
  <si>
    <t>19-2032</t>
  </si>
  <si>
    <t>Environmental scientists and specialists, including health</t>
  </si>
  <si>
    <t>19-2041</t>
  </si>
  <si>
    <t>Biological scientists, all other</t>
  </si>
  <si>
    <t>19-1029</t>
  </si>
  <si>
    <t>Biochemists and biophysicists</t>
  </si>
  <si>
    <t>19-1021</t>
  </si>
  <si>
    <t>Food scientists and technologists</t>
  </si>
  <si>
    <t>19-1012</t>
  </si>
  <si>
    <t>Geoscientists, except hydrologists and geographers</t>
  </si>
  <si>
    <t>19-2042</t>
  </si>
  <si>
    <t>Anthropologists and archeologists</t>
  </si>
  <si>
    <t>19-3091</t>
  </si>
  <si>
    <t>Microbiologists</t>
  </si>
  <si>
    <t>19-1022</t>
  </si>
  <si>
    <t>Hydrologists</t>
  </si>
  <si>
    <t>19-2043</t>
  </si>
  <si>
    <t>Soil and plant scientists</t>
  </si>
  <si>
    <t>19-1013</t>
  </si>
  <si>
    <t>Chemists</t>
  </si>
  <si>
    <t>19-2031</t>
  </si>
  <si>
    <t>Life, physical, and social science technicians, all other</t>
  </si>
  <si>
    <t>19-4099</t>
  </si>
  <si>
    <t>Zoologists and wildlife biologists</t>
  </si>
  <si>
    <t>19-1023</t>
  </si>
  <si>
    <t>Biological technicians</t>
  </si>
  <si>
    <t>19-4021</t>
  </si>
  <si>
    <t>Forensic science technicians</t>
  </si>
  <si>
    <t>19-4092</t>
  </si>
  <si>
    <t>Nuclear technicians</t>
  </si>
  <si>
    <t>19-4051</t>
  </si>
  <si>
    <t>Conservation scientists</t>
  </si>
  <si>
    <t>19-1031</t>
  </si>
  <si>
    <t>Chemical technicians</t>
  </si>
  <si>
    <t>19-4031</t>
  </si>
  <si>
    <t>Life scientists, all other</t>
  </si>
  <si>
    <t>19-1099</t>
  </si>
  <si>
    <t>Clinical and counseling psychologists</t>
  </si>
  <si>
    <t>19-3033</t>
  </si>
  <si>
    <t>School psychologists</t>
  </si>
  <si>
    <t>19-3034</t>
  </si>
  <si>
    <t>Agricultural technicians</t>
  </si>
  <si>
    <t>19-4012</t>
  </si>
  <si>
    <t>Food science technicians</t>
  </si>
  <si>
    <t>19-4013</t>
  </si>
  <si>
    <t>Environmental science and protection technicians, including health</t>
  </si>
  <si>
    <t>19-4042</t>
  </si>
  <si>
    <t>Geological technicians, except hydrologic technicians</t>
  </si>
  <si>
    <t>19-4043</t>
  </si>
  <si>
    <t>Hydrologic technicians</t>
  </si>
  <si>
    <t>19-4044</t>
  </si>
  <si>
    <t>Forest and conservation technicians</t>
  </si>
  <si>
    <t>19-4071</t>
  </si>
  <si>
    <t>Occupational health and safety specialists</t>
  </si>
  <si>
    <t>19-5011</t>
  </si>
  <si>
    <t>Occupational health and safety technicians</t>
  </si>
  <si>
    <t>19-5012</t>
  </si>
  <si>
    <t>Foresters</t>
  </si>
  <si>
    <t>19-1032</t>
  </si>
  <si>
    <t>Marriage and family therapists</t>
  </si>
  <si>
    <t>21-1013</t>
  </si>
  <si>
    <t>21</t>
  </si>
  <si>
    <t>Clergy</t>
  </si>
  <si>
    <t>21-2011</t>
  </si>
  <si>
    <t>Directors, religious activities and education</t>
  </si>
  <si>
    <t>21-2021</t>
  </si>
  <si>
    <t>Mental health and substance abuse social workers</t>
  </si>
  <si>
    <t>21-1023</t>
  </si>
  <si>
    <t>Educational, guidance, and career counselors and advisors</t>
  </si>
  <si>
    <t>21-1012</t>
  </si>
  <si>
    <t>Healthcare social workers</t>
  </si>
  <si>
    <t>21-1022</t>
  </si>
  <si>
    <t>Child, family, and school social workers</t>
  </si>
  <si>
    <t>21-1021</t>
  </si>
  <si>
    <t>Health education specialists</t>
  </si>
  <si>
    <t>21-1091</t>
  </si>
  <si>
    <t>Probation officers and correctional treatment specialists</t>
  </si>
  <si>
    <t>21-1092</t>
  </si>
  <si>
    <t>Rehabilitation counselors</t>
  </si>
  <si>
    <t>21-1015</t>
  </si>
  <si>
    <t>Social and human service assistants</t>
  </si>
  <si>
    <t>21-1093</t>
  </si>
  <si>
    <t>Community health workers</t>
  </si>
  <si>
    <t>21-1094</t>
  </si>
  <si>
    <t>Substance abuse, behavioral disorder, and mental health counselors</t>
  </si>
  <si>
    <t>21-1018</t>
  </si>
  <si>
    <t>Counselors, all other</t>
  </si>
  <si>
    <t>21-1019</t>
  </si>
  <si>
    <t>Social workers, all other</t>
  </si>
  <si>
    <t>21-1029</t>
  </si>
  <si>
    <t>Community and social service specialists, all other</t>
  </si>
  <si>
    <t>21-1099</t>
  </si>
  <si>
    <t>Religious workers, all other</t>
  </si>
  <si>
    <t>21-2099</t>
  </si>
  <si>
    <t>Judges, magistrate judges, and magistrates</t>
  </si>
  <si>
    <t>23-1023</t>
  </si>
  <si>
    <t>23</t>
  </si>
  <si>
    <t>Judicial law clerks</t>
  </si>
  <si>
    <t>23-1012</t>
  </si>
  <si>
    <t>Arbitrators, mediators, and conciliators</t>
  </si>
  <si>
    <t>23-1022</t>
  </si>
  <si>
    <t>Administrative law judges, adjudicators, and hearing officers</t>
  </si>
  <si>
    <t>23-1021</t>
  </si>
  <si>
    <t>Lawyers</t>
  </si>
  <si>
    <t>23-1011</t>
  </si>
  <si>
    <t>Paralegals and legal assistants</t>
  </si>
  <si>
    <t>23-2011</t>
  </si>
  <si>
    <t>Title examiners, abstractors, and searchers</t>
  </si>
  <si>
    <t>23-2093</t>
  </si>
  <si>
    <t>Legal support workers, all other</t>
  </si>
  <si>
    <t>23-2099</t>
  </si>
  <si>
    <t>History teachers, postsecondary</t>
  </si>
  <si>
    <t>25-1125</t>
  </si>
  <si>
    <t>25</t>
  </si>
  <si>
    <t>English language and literature teachers, postsecondary</t>
  </si>
  <si>
    <t>25-1123</t>
  </si>
  <si>
    <t>Criminal justice and law enforcement teachers, postsecondary</t>
  </si>
  <si>
    <t>25-1111</t>
  </si>
  <si>
    <t>Library science teachers, postsecondary</t>
  </si>
  <si>
    <t>25-1082</t>
  </si>
  <si>
    <t>Political science teachers, postsecondary</t>
  </si>
  <si>
    <t>25-1065</t>
  </si>
  <si>
    <t>Philosophy and religion teachers, postsecondary</t>
  </si>
  <si>
    <t>25-1126</t>
  </si>
  <si>
    <t>Law teachers, postsecondary</t>
  </si>
  <si>
    <t>25-1112</t>
  </si>
  <si>
    <t>Engineering teachers, postsecondary</t>
  </si>
  <si>
    <t>25-1032</t>
  </si>
  <si>
    <t>Business teachers, postsecondary</t>
  </si>
  <si>
    <t>25-1011</t>
  </si>
  <si>
    <t>Sociology teachers, postsecondary</t>
  </si>
  <si>
    <t>25-1067</t>
  </si>
  <si>
    <t>Adult basic education, adult secondary education, and english as a second language instructors</t>
  </si>
  <si>
    <t>25-3011</t>
  </si>
  <si>
    <t>Environmental science teachers, postsecondary</t>
  </si>
  <si>
    <t>25-1053</t>
  </si>
  <si>
    <t>Communications teachers, postsecondary</t>
  </si>
  <si>
    <t>25-1122</t>
  </si>
  <si>
    <t>Social work teachers, postsecondary</t>
  </si>
  <si>
    <t>25-1113</t>
  </si>
  <si>
    <t>Mathematical science teachers, postsecondary</t>
  </si>
  <si>
    <t>25-1022</t>
  </si>
  <si>
    <t>Foreign language and literature teachers, postsecondary</t>
  </si>
  <si>
    <t>25-1124</t>
  </si>
  <si>
    <t>Chemistry teachers, postsecondary</t>
  </si>
  <si>
    <t>25-1052</t>
  </si>
  <si>
    <t>Psychology teachers, postsecondary</t>
  </si>
  <si>
    <t>25-1066</t>
  </si>
  <si>
    <t>Teachers and instructors, all other</t>
  </si>
  <si>
    <t>25-3099</t>
  </si>
  <si>
    <t>Anthropology and archeology teachers, postsecondary</t>
  </si>
  <si>
    <t>25-1061</t>
  </si>
  <si>
    <t>Economics teachers, postsecondary</t>
  </si>
  <si>
    <t>25-1063</t>
  </si>
  <si>
    <t>Geography teachers, postsecondary</t>
  </si>
  <si>
    <t>25-1064</t>
  </si>
  <si>
    <t>Area, ethnic, and cultural studies teachers, postsecondary</t>
  </si>
  <si>
    <t>25-1062</t>
  </si>
  <si>
    <t>Atmospheric, earth, marine, and space sciences teachers, postsecondary</t>
  </si>
  <si>
    <t>25-1051</t>
  </si>
  <si>
    <t>Instructional coordinators</t>
  </si>
  <si>
    <t>25-9031</t>
  </si>
  <si>
    <t>Middle school teachers, except special and career/technical education</t>
  </si>
  <si>
    <t>25-2022</t>
  </si>
  <si>
    <t>Computer science teachers, postsecondary</t>
  </si>
  <si>
    <t>25-1021</t>
  </si>
  <si>
    <t>Forestry and conservation science teachers, postsecondary</t>
  </si>
  <si>
    <t>25-1043</t>
  </si>
  <si>
    <t>Biological science teachers, postsecondary</t>
  </si>
  <si>
    <t>25-1042</t>
  </si>
  <si>
    <t>Architecture teachers, postsecondary</t>
  </si>
  <si>
    <t>25-1031</t>
  </si>
  <si>
    <t>Family and consumer sciences teachers, postsecondary</t>
  </si>
  <si>
    <t>25-1192</t>
  </si>
  <si>
    <t>Education teachers, postsecondary</t>
  </si>
  <si>
    <t>25-1081</t>
  </si>
  <si>
    <t>Secondary school teachers, except special and career/technical education</t>
  </si>
  <si>
    <t>25-2031</t>
  </si>
  <si>
    <t>Recreation and fitness studies teachers, postsecondary</t>
  </si>
  <si>
    <t>25-1193</t>
  </si>
  <si>
    <t>Physics teachers, postsecondary</t>
  </si>
  <si>
    <t>25-1054</t>
  </si>
  <si>
    <t>Health specialties teachers, postsecondary</t>
  </si>
  <si>
    <t>25-1071</t>
  </si>
  <si>
    <t>Elementary school teachers, except special education</t>
  </si>
  <si>
    <t>25-2021</t>
  </si>
  <si>
    <t>Farm and home management educators</t>
  </si>
  <si>
    <t>25-9021</t>
  </si>
  <si>
    <t>Art, drama, and music teachers, postsecondary</t>
  </si>
  <si>
    <t>25-1121</t>
  </si>
  <si>
    <t>Agricultural sciences teachers, postsecondary</t>
  </si>
  <si>
    <t>25-1041</t>
  </si>
  <si>
    <t>Curators</t>
  </si>
  <si>
    <t>25-4012</t>
  </si>
  <si>
    <t>Special education teachers, kindergarten and elementary school</t>
  </si>
  <si>
    <t>25-2052</t>
  </si>
  <si>
    <t>Archivists</t>
  </si>
  <si>
    <t>25-4011</t>
  </si>
  <si>
    <t>Self-enrichment teachers</t>
  </si>
  <si>
    <t>25-3021</t>
  </si>
  <si>
    <t>Career/technical education teachers, middle school</t>
  </si>
  <si>
    <t>25-2023</t>
  </si>
  <si>
    <t>Nursing instructors and teachers, postsecondary</t>
  </si>
  <si>
    <t>25-1072</t>
  </si>
  <si>
    <t>Special education teachers, preschool</t>
  </si>
  <si>
    <t>25-2051</t>
  </si>
  <si>
    <t>Career/technical education teachers, secondary school</t>
  </si>
  <si>
    <t>25-2032</t>
  </si>
  <si>
    <t>Kindergarten teachers, except special education</t>
  </si>
  <si>
    <t>25-2012</t>
  </si>
  <si>
    <t>Career/technical education teachers, postsecondary</t>
  </si>
  <si>
    <t>25-1194</t>
  </si>
  <si>
    <t>Library technicians</t>
  </si>
  <si>
    <t>25-4031</t>
  </si>
  <si>
    <t>Preschool teachers, except special education</t>
  </si>
  <si>
    <t>25-2011</t>
  </si>
  <si>
    <t>Social sciences teachers, postsecondary, all other</t>
  </si>
  <si>
    <t>25-1069</t>
  </si>
  <si>
    <t>Postsecondary teachers, all other</t>
  </si>
  <si>
    <t>25-1199</t>
  </si>
  <si>
    <t>Special education teachers, middle school</t>
  </si>
  <si>
    <t>25-2057</t>
  </si>
  <si>
    <t>Special education teachers, secondary school</t>
  </si>
  <si>
    <t>25-2058</t>
  </si>
  <si>
    <t>Substitute teachers, short-term</t>
  </si>
  <si>
    <t>25-3031</t>
  </si>
  <si>
    <t>Tutors</t>
  </si>
  <si>
    <t>25-3041</t>
  </si>
  <si>
    <t>Librarians and media collections specialists</t>
  </si>
  <si>
    <t>25-4022</t>
  </si>
  <si>
    <t>Teaching assistants, postsecondary</t>
  </si>
  <si>
    <t>25-9044</t>
  </si>
  <si>
    <t>Teaching assistants, except postsecondary</t>
  </si>
  <si>
    <t>25-9045</t>
  </si>
  <si>
    <t>Educational instruction and library workers, all other</t>
  </si>
  <si>
    <t>25-9099</t>
  </si>
  <si>
    <t>Museum technicians and conservators</t>
  </si>
  <si>
    <t>25-4013</t>
  </si>
  <si>
    <t>Special education teachers, all other</t>
  </si>
  <si>
    <t>25-2059</t>
  </si>
  <si>
    <t>Public relations specialists</t>
  </si>
  <si>
    <t>27-3031</t>
  </si>
  <si>
    <t>27</t>
  </si>
  <si>
    <t>Technical writers</t>
  </si>
  <si>
    <t>27-3042</t>
  </si>
  <si>
    <t>Editors</t>
  </si>
  <si>
    <t>27-3041</t>
  </si>
  <si>
    <t>Interior designers</t>
  </si>
  <si>
    <t>27-1025</t>
  </si>
  <si>
    <t>Interpreters and translators</t>
  </si>
  <si>
    <t>27-3091</t>
  </si>
  <si>
    <t>Art directors</t>
  </si>
  <si>
    <t>27-1011</t>
  </si>
  <si>
    <t>Writers and authors</t>
  </si>
  <si>
    <t>27-3043</t>
  </si>
  <si>
    <t>Film and video editors</t>
  </si>
  <si>
    <t>27-4032</t>
  </si>
  <si>
    <t>Producers and directors</t>
  </si>
  <si>
    <t>27-2012</t>
  </si>
  <si>
    <t>Music directors and composers</t>
  </si>
  <si>
    <t>27-2041</t>
  </si>
  <si>
    <t>Commercial and industrial designers</t>
  </si>
  <si>
    <t>27-1021</t>
  </si>
  <si>
    <t>Broadcast announcers and radio disc jockeys</t>
  </si>
  <si>
    <t>27-3011</t>
  </si>
  <si>
    <t>Graphic designers</t>
  </si>
  <si>
    <t>27-1024</t>
  </si>
  <si>
    <t>Special effects artists and animators</t>
  </si>
  <si>
    <t>27-1014</t>
  </si>
  <si>
    <t>Fashion designers</t>
  </si>
  <si>
    <t>27-1022</t>
  </si>
  <si>
    <t>Sound engineering technicians</t>
  </si>
  <si>
    <t>27-4014</t>
  </si>
  <si>
    <t>Actors</t>
  </si>
  <si>
    <t>27-2011</t>
  </si>
  <si>
    <t>Broadcast technicians</t>
  </si>
  <si>
    <t>27-4012</t>
  </si>
  <si>
    <t>Coaches and scouts</t>
  </si>
  <si>
    <t>27-2022</t>
  </si>
  <si>
    <t>Artists and related workers, all other</t>
  </si>
  <si>
    <t>27-1019</t>
  </si>
  <si>
    <t>Designers, all other</t>
  </si>
  <si>
    <t>27-1029</t>
  </si>
  <si>
    <t>Disc jockeys, except radio</t>
  </si>
  <si>
    <t>27-2091</t>
  </si>
  <si>
    <t>Entertainers and performers, sports and related workers, all other</t>
  </si>
  <si>
    <t>27-2099</t>
  </si>
  <si>
    <t>News analysts, reporters, and journalists</t>
  </si>
  <si>
    <t>27-3023</t>
  </si>
  <si>
    <t>Court reporters and simultaneous captioners</t>
  </si>
  <si>
    <t>27-3092</t>
  </si>
  <si>
    <t>Media and communication workers, all other</t>
  </si>
  <si>
    <t>27-3099</t>
  </si>
  <si>
    <t>Lighting technicians</t>
  </si>
  <si>
    <t>27-4015</t>
  </si>
  <si>
    <t>Media and communication equipment workers, all other</t>
  </si>
  <si>
    <t>27-4099</t>
  </si>
  <si>
    <t>Musicians and singers</t>
  </si>
  <si>
    <t>27-2042</t>
  </si>
  <si>
    <t>Audio and video technicians</t>
  </si>
  <si>
    <t>27-4011</t>
  </si>
  <si>
    <t>Umpires, referees, and other sports officials</t>
  </si>
  <si>
    <t>27-2023</t>
  </si>
  <si>
    <t>Set and exhibit designers</t>
  </si>
  <si>
    <t>27-1027</t>
  </si>
  <si>
    <t>Photographers</t>
  </si>
  <si>
    <t>27-4021</t>
  </si>
  <si>
    <t>Floral designers</t>
  </si>
  <si>
    <t>27-1023</t>
  </si>
  <si>
    <t>Camera operators, television, video, and film</t>
  </si>
  <si>
    <t>27-4031</t>
  </si>
  <si>
    <t>Fine artists, including painters, sculptors, and illustrators</t>
  </si>
  <si>
    <t>27-1013</t>
  </si>
  <si>
    <t>Craft artists</t>
  </si>
  <si>
    <t>27-1012</t>
  </si>
  <si>
    <t>Merchandise displayers and window trimmers</t>
  </si>
  <si>
    <t>27-1026</t>
  </si>
  <si>
    <t>Choreographers</t>
  </si>
  <si>
    <t>27-2032</t>
  </si>
  <si>
    <t>Athletes and sports competitors</t>
  </si>
  <si>
    <t>27-2021</t>
  </si>
  <si>
    <t>Dancers</t>
  </si>
  <si>
    <t>27-2031</t>
  </si>
  <si>
    <t>Genetic counselors</t>
  </si>
  <si>
    <t>29-9092</t>
  </si>
  <si>
    <t>29</t>
  </si>
  <si>
    <t>Dietitians and nutritionists</t>
  </si>
  <si>
    <t>29-1031</t>
  </si>
  <si>
    <t>Speech-language pathologists</t>
  </si>
  <si>
    <t>29-1127</t>
  </si>
  <si>
    <t>Audiologists</t>
  </si>
  <si>
    <t>29-1181</t>
  </si>
  <si>
    <t>Podiatrists</t>
  </si>
  <si>
    <t>29-1081</t>
  </si>
  <si>
    <t>Pharmacists</t>
  </si>
  <si>
    <t>29-1051</t>
  </si>
  <si>
    <t>Hearing aid specialists</t>
  </si>
  <si>
    <t>29-2092</t>
  </si>
  <si>
    <t>Optometrists</t>
  </si>
  <si>
    <t>29-1041</t>
  </si>
  <si>
    <t>Nurse anesthetists</t>
  </si>
  <si>
    <t>29-1151</t>
  </si>
  <si>
    <t>Healthcare practitioners and technical workers, all other</t>
  </si>
  <si>
    <t>29-9099</t>
  </si>
  <si>
    <t>Registered nurses</t>
  </si>
  <si>
    <t>29-1141</t>
  </si>
  <si>
    <t>Recreational therapists</t>
  </si>
  <si>
    <t>29-1125</t>
  </si>
  <si>
    <t>Nurse midwives</t>
  </si>
  <si>
    <t>29-1161</t>
  </si>
  <si>
    <t>Nurse practitioners</t>
  </si>
  <si>
    <t>29-1171</t>
  </si>
  <si>
    <t>Orthodontists</t>
  </si>
  <si>
    <t>29-1023</t>
  </si>
  <si>
    <t>&gt;=$239,200</t>
  </si>
  <si>
    <t>Occupational therapists</t>
  </si>
  <si>
    <t>29-1122</t>
  </si>
  <si>
    <t>Physician assistants</t>
  </si>
  <si>
    <t>29-1071</t>
  </si>
  <si>
    <t>Opticians, dispensing</t>
  </si>
  <si>
    <t>29-2081</t>
  </si>
  <si>
    <t>Nuclear medicine technologists</t>
  </si>
  <si>
    <t>29-2033</t>
  </si>
  <si>
    <t>Ophthalmic medical technicians</t>
  </si>
  <si>
    <t>29-2057</t>
  </si>
  <si>
    <t>Orthotists and prosthetists</t>
  </si>
  <si>
    <t>29-2091</t>
  </si>
  <si>
    <t>Pharmacy technicians</t>
  </si>
  <si>
    <t>29-2052</t>
  </si>
  <si>
    <t>Dentists, all other specialists</t>
  </si>
  <si>
    <t>29-1029</t>
  </si>
  <si>
    <t>Therapists, all other</t>
  </si>
  <si>
    <t>29-1129</t>
  </si>
  <si>
    <t>Anesthesiologists</t>
  </si>
  <si>
    <t>29-1211</t>
  </si>
  <si>
    <t>Cardiologists</t>
  </si>
  <si>
    <t>29-1212</t>
  </si>
  <si>
    <t>Dermatologists</t>
  </si>
  <si>
    <t>29-1213</t>
  </si>
  <si>
    <t>Emergency medicine physicians</t>
  </si>
  <si>
    <t>29-1214</t>
  </si>
  <si>
    <t>Family medicine physicians</t>
  </si>
  <si>
    <t>29-1215</t>
  </si>
  <si>
    <t>General internal medicine physicians</t>
  </si>
  <si>
    <t>29-1216</t>
  </si>
  <si>
    <t>Neurologists</t>
  </si>
  <si>
    <t>29-1217</t>
  </si>
  <si>
    <t>Obstetricians and gynecologists</t>
  </si>
  <si>
    <t>29-1218</t>
  </si>
  <si>
    <t>Pediatricians, general</t>
  </si>
  <si>
    <t>29-1221</t>
  </si>
  <si>
    <t>Physicians, pathologists</t>
  </si>
  <si>
    <t>29-1222</t>
  </si>
  <si>
    <t>Psychiatrists</t>
  </si>
  <si>
    <t>29-1223</t>
  </si>
  <si>
    <t>Radiologists</t>
  </si>
  <si>
    <t>29-1224</t>
  </si>
  <si>
    <t>Physicians, all other</t>
  </si>
  <si>
    <t>29-1229</t>
  </si>
  <si>
    <t>Ophthalmologists, except pediatric</t>
  </si>
  <si>
    <t>29-1241</t>
  </si>
  <si>
    <t>Orthopedic surgeons, except pediatric</t>
  </si>
  <si>
    <t>29-1242</t>
  </si>
  <si>
    <t>Pediatric surgeons</t>
  </si>
  <si>
    <t>29-1243</t>
  </si>
  <si>
    <t>Surgeons, all other</t>
  </si>
  <si>
    <t>29-1249</t>
  </si>
  <si>
    <t>Acupuncturists</t>
  </si>
  <si>
    <t>29-1291</t>
  </si>
  <si>
    <t>Dental hygienists</t>
  </si>
  <si>
    <t>29-1292</t>
  </si>
  <si>
    <t>Healthcare diagnosing or treating practitioners, all other</t>
  </si>
  <si>
    <t>29-1299</t>
  </si>
  <si>
    <t>Clinical laboratory technologists and technicians</t>
  </si>
  <si>
    <t>29-2010</t>
  </si>
  <si>
    <t>Medical dosimetrists</t>
  </si>
  <si>
    <t>29-2036</t>
  </si>
  <si>
    <t>Emergency medical technicians</t>
  </si>
  <si>
    <t>29-2042</t>
  </si>
  <si>
    <t>Paramedics</t>
  </si>
  <si>
    <t>29-2043</t>
  </si>
  <si>
    <t>Medical records specialists</t>
  </si>
  <si>
    <t>29-2072</t>
  </si>
  <si>
    <t>Health information technologists and medical registrars</t>
  </si>
  <si>
    <t>29-9021</t>
  </si>
  <si>
    <t>Surgical assistants</t>
  </si>
  <si>
    <t>29-9093</t>
  </si>
  <si>
    <t>Exercise physiologists</t>
  </si>
  <si>
    <t>29-1128</t>
  </si>
  <si>
    <t>Magnetic resonance imaging technologists</t>
  </si>
  <si>
    <t>29-2035</t>
  </si>
  <si>
    <t>Veterinarians</t>
  </si>
  <si>
    <t>29-1131</t>
  </si>
  <si>
    <t>Cardiovascular technologists and technicians</t>
  </si>
  <si>
    <t>29-2031</t>
  </si>
  <si>
    <t>Dietetic technicians</t>
  </si>
  <si>
    <t>29-2051</t>
  </si>
  <si>
    <t>Prosthodontists</t>
  </si>
  <si>
    <t>29-1024</t>
  </si>
  <si>
    <t>Dentists, general</t>
  </si>
  <si>
    <t>29-1021</t>
  </si>
  <si>
    <t>Respiratory therapists</t>
  </si>
  <si>
    <t>29-1126</t>
  </si>
  <si>
    <t>Chiropractors</t>
  </si>
  <si>
    <t>29-1011</t>
  </si>
  <si>
    <t>Radiation therapists</t>
  </si>
  <si>
    <t>29-1124</t>
  </si>
  <si>
    <t>Psychiatric technicians</t>
  </si>
  <si>
    <t>29-2053</t>
  </si>
  <si>
    <t>Oral and maxillofacial surgeons</t>
  </si>
  <si>
    <t>29-1022</t>
  </si>
  <si>
    <t>Diagnostic medical sonographers</t>
  </si>
  <si>
    <t>29-2032</t>
  </si>
  <si>
    <t>Health technologists and technicians, all other</t>
  </si>
  <si>
    <t>29-2099</t>
  </si>
  <si>
    <t>Athletic trainers</t>
  </si>
  <si>
    <t>29-9091</t>
  </si>
  <si>
    <t>Physical therapists</t>
  </si>
  <si>
    <t>29-1123</t>
  </si>
  <si>
    <t>Veterinary technologists and technicians</t>
  </si>
  <si>
    <t>29-2056</t>
  </si>
  <si>
    <t>Surgical technologists</t>
  </si>
  <si>
    <t>29-2055</t>
  </si>
  <si>
    <t>Licensed practical and licensed vocational nurses</t>
  </si>
  <si>
    <t>29-2061</t>
  </si>
  <si>
    <t>Radiologic technologists and technicians</t>
  </si>
  <si>
    <t>29-2034</t>
  </si>
  <si>
    <t>Medical transcriptionists</t>
  </si>
  <si>
    <t>31-9094</t>
  </si>
  <si>
    <t>31</t>
  </si>
  <si>
    <t>Healthcare support workers, all other</t>
  </si>
  <si>
    <t>31-9099</t>
  </si>
  <si>
    <t>Medical assistants</t>
  </si>
  <si>
    <t>31-9092</t>
  </si>
  <si>
    <t>Home health and personal care aides</t>
  </si>
  <si>
    <t>31-1120</t>
  </si>
  <si>
    <t>Nursing assistants</t>
  </si>
  <si>
    <t>31-1131</t>
  </si>
  <si>
    <t>Orderlies</t>
  </si>
  <si>
    <t>31-1132</t>
  </si>
  <si>
    <t>Psychiatric aides</t>
  </si>
  <si>
    <t>31-1133</t>
  </si>
  <si>
    <t>Pharmacy aides</t>
  </si>
  <si>
    <t>31-9095</t>
  </si>
  <si>
    <t>Phlebotomists</t>
  </si>
  <si>
    <t>31-9097</t>
  </si>
  <si>
    <t>Occupational therapy assistants</t>
  </si>
  <si>
    <t>31-2011</t>
  </si>
  <si>
    <t>Dental assistants</t>
  </si>
  <si>
    <t>31-9091</t>
  </si>
  <si>
    <t>Physical therapist assistants</t>
  </si>
  <si>
    <t>31-2021</t>
  </si>
  <si>
    <t>Medical equipment preparers</t>
  </si>
  <si>
    <t>31-9093</t>
  </si>
  <si>
    <t>Occupational therapy aides</t>
  </si>
  <si>
    <t>31-2012</t>
  </si>
  <si>
    <t>Veterinary assistants and laboratory animal caretakers</t>
  </si>
  <si>
    <t>31-9096</t>
  </si>
  <si>
    <t>Physical therapist aides</t>
  </si>
  <si>
    <t>31-2022</t>
  </si>
  <si>
    <t>Massage therapists</t>
  </si>
  <si>
    <t>31-9011</t>
  </si>
  <si>
    <t>Private detectives and investigators</t>
  </si>
  <si>
    <t>33-9021</t>
  </si>
  <si>
    <t>33</t>
  </si>
  <si>
    <t>Gambling surveillance officers and gambling investigators</t>
  </si>
  <si>
    <t>33-9031</t>
  </si>
  <si>
    <t>Detectives and criminal investigators</t>
  </si>
  <si>
    <t>33-3021</t>
  </si>
  <si>
    <t>Protective service workers, all other</t>
  </si>
  <si>
    <t>33-9099</t>
  </si>
  <si>
    <t>Fire inspectors and investigators</t>
  </si>
  <si>
    <t>33-2021</t>
  </si>
  <si>
    <t>First-line supervisors of security workers</t>
  </si>
  <si>
    <t>33-1091</t>
  </si>
  <si>
    <t>First-line supervisors of protective service workers, all other</t>
  </si>
  <si>
    <t>33-1099</t>
  </si>
  <si>
    <t>School bus monitors</t>
  </si>
  <si>
    <t>33-9094</t>
  </si>
  <si>
    <t>First-line supervisors of police and detectives</t>
  </si>
  <si>
    <t>33-1012</t>
  </si>
  <si>
    <t>Forest fire inspectors and prevention specialists</t>
  </si>
  <si>
    <t>33-2022</t>
  </si>
  <si>
    <t>Security guards</t>
  </si>
  <si>
    <t>33-9032</t>
  </si>
  <si>
    <t>Fish and game wardens</t>
  </si>
  <si>
    <t>33-3031</t>
  </si>
  <si>
    <t>Lifeguards, ski patrol, and other recreational protective service workers</t>
  </si>
  <si>
    <t>33-9092</t>
  </si>
  <si>
    <t>Transportation security screeners</t>
  </si>
  <si>
    <t>33-9093</t>
  </si>
  <si>
    <t>Bailiffs</t>
  </si>
  <si>
    <t>33-3011</t>
  </si>
  <si>
    <t>First-line supervisors of correctional officers</t>
  </si>
  <si>
    <t>33-1011</t>
  </si>
  <si>
    <t>Crossing guards and flaggers</t>
  </si>
  <si>
    <t>33-9091</t>
  </si>
  <si>
    <t>First-line supervisors of firefighting and prevention workers</t>
  </si>
  <si>
    <t>33-1021</t>
  </si>
  <si>
    <t>Animal control workers</t>
  </si>
  <si>
    <t>33-9011</t>
  </si>
  <si>
    <t>Parking enforcement workers</t>
  </si>
  <si>
    <t>33-3041</t>
  </si>
  <si>
    <t>Police and sheriff's patrol officers</t>
  </si>
  <si>
    <t>33-3051</t>
  </si>
  <si>
    <t>Transit and railroad police</t>
  </si>
  <si>
    <t>33-3052</t>
  </si>
  <si>
    <t>Correctional officers and jailers</t>
  </si>
  <si>
    <t>33-3012</t>
  </si>
  <si>
    <t>Firefighters</t>
  </si>
  <si>
    <t>33-2011</t>
  </si>
  <si>
    <t>Cooks, all other</t>
  </si>
  <si>
    <t>35-2019</t>
  </si>
  <si>
    <t>35</t>
  </si>
  <si>
    <t>Fast food and counter workers</t>
  </si>
  <si>
    <t>35-3023</t>
  </si>
  <si>
    <t>Food preparation and serving related workers, all other</t>
  </si>
  <si>
    <t>35-9099</t>
  </si>
  <si>
    <t>Hosts and hostesses, restaurant, lounge, and coffee shop</t>
  </si>
  <si>
    <t>35-9031</t>
  </si>
  <si>
    <t>First-line supervisors of food preparation and serving workers</t>
  </si>
  <si>
    <t>35-1012</t>
  </si>
  <si>
    <t>Chefs and head cooks</t>
  </si>
  <si>
    <t>35-1011</t>
  </si>
  <si>
    <t>Cooks, short order</t>
  </si>
  <si>
    <t>35-2015</t>
  </si>
  <si>
    <t>Bartenders</t>
  </si>
  <si>
    <t>35-3011</t>
  </si>
  <si>
    <t>Cooks, institution and cafeteria</t>
  </si>
  <si>
    <t>35-2012</t>
  </si>
  <si>
    <t>Cooks, fast food</t>
  </si>
  <si>
    <t>35-2011</t>
  </si>
  <si>
    <t>Food servers, nonrestaurant</t>
  </si>
  <si>
    <t>35-3041</t>
  </si>
  <si>
    <t>Cooks, restaurant</t>
  </si>
  <si>
    <t>35-2014</t>
  </si>
  <si>
    <t>Cooks, private household</t>
  </si>
  <si>
    <t>35-2013</t>
  </si>
  <si>
    <t>Waiters and waitresses</t>
  </si>
  <si>
    <t>35-3031</t>
  </si>
  <si>
    <t>Food preparation workers</t>
  </si>
  <si>
    <t>35-2021</t>
  </si>
  <si>
    <t>Dishwashers</t>
  </si>
  <si>
    <t>35-9021</t>
  </si>
  <si>
    <t>Dining room and cafeteria attendants and bartender helpers</t>
  </si>
  <si>
    <t>35-9011</t>
  </si>
  <si>
    <t>Building cleaning workers, all other</t>
  </si>
  <si>
    <t>37-2019</t>
  </si>
  <si>
    <t>37</t>
  </si>
  <si>
    <t>Grounds maintenance workers, all other</t>
  </si>
  <si>
    <t>37-3019</t>
  </si>
  <si>
    <t>First-line supervisors of landscaping, lawn service, and groundskeeping workers</t>
  </si>
  <si>
    <t>37-1012</t>
  </si>
  <si>
    <t>First-line supervisors of housekeeping and janitorial workers</t>
  </si>
  <si>
    <t>37-1011</t>
  </si>
  <si>
    <t>Pest control workers</t>
  </si>
  <si>
    <t>37-2021</t>
  </si>
  <si>
    <t>Pesticide handlers, sprayers, and applicators, vegetation</t>
  </si>
  <si>
    <t>37-3012</t>
  </si>
  <si>
    <t>Janitors and cleaners, except maids and housekeeping cleaners</t>
  </si>
  <si>
    <t>37-2011</t>
  </si>
  <si>
    <t>Maids and housekeeping cleaners</t>
  </si>
  <si>
    <t>37-2012</t>
  </si>
  <si>
    <t>Tree trimmers and pruners</t>
  </si>
  <si>
    <t>37-3013</t>
  </si>
  <si>
    <t>Landscaping and groundskeeping workers</t>
  </si>
  <si>
    <t>37-3011</t>
  </si>
  <si>
    <t>Concierges</t>
  </si>
  <si>
    <t>39-6012</t>
  </si>
  <si>
    <t>39</t>
  </si>
  <si>
    <t>Residential advisors</t>
  </si>
  <si>
    <t>39-9041</t>
  </si>
  <si>
    <t>Gambling and sports book writers and runners</t>
  </si>
  <si>
    <t>39-3012</t>
  </si>
  <si>
    <t>Gambling dealers</t>
  </si>
  <si>
    <t>39-3011</t>
  </si>
  <si>
    <t>Manicurists and pedicurists</t>
  </si>
  <si>
    <t>39-5092</t>
  </si>
  <si>
    <t>First-line supervisors of gambling services workers</t>
  </si>
  <si>
    <t>39-1013</t>
  </si>
  <si>
    <t>First-line supervisors of entertainment and recreation workers, except gambling services</t>
  </si>
  <si>
    <t>39-1014</t>
  </si>
  <si>
    <t>First-line supervisors of personal service workers</t>
  </si>
  <si>
    <t>39-1022</t>
  </si>
  <si>
    <t>Gambling service workers, all other</t>
  </si>
  <si>
    <t>39-3019</t>
  </si>
  <si>
    <t>Entertainment attendants and related workers, all other</t>
  </si>
  <si>
    <t>39-3099</t>
  </si>
  <si>
    <t>Crematory operators</t>
  </si>
  <si>
    <t>39-4012</t>
  </si>
  <si>
    <t>Tour and travel guides</t>
  </si>
  <si>
    <t>39-7010</t>
  </si>
  <si>
    <t>Personal care and service workers, all other</t>
  </si>
  <si>
    <t>39-9099</t>
  </si>
  <si>
    <t>Morticians, undertakers, and funeral arrangers</t>
  </si>
  <si>
    <t>39-4031</t>
  </si>
  <si>
    <t>Ushers, lobby attendants, and ticket takers</t>
  </si>
  <si>
    <t>39-3031</t>
  </si>
  <si>
    <t>Recreation workers</t>
  </si>
  <si>
    <t>39-9032</t>
  </si>
  <si>
    <t>Skincare specialists</t>
  </si>
  <si>
    <t>39-5094</t>
  </si>
  <si>
    <t>Locker room, coatroom, and dressing room attendants</t>
  </si>
  <si>
    <t>39-3093</t>
  </si>
  <si>
    <t>Motion picture projectionists</t>
  </si>
  <si>
    <t>39-3021</t>
  </si>
  <si>
    <t>Childcare workers</t>
  </si>
  <si>
    <t>39-9011</t>
  </si>
  <si>
    <t>Costume attendants</t>
  </si>
  <si>
    <t>39-3092</t>
  </si>
  <si>
    <t>Makeup artists, theatrical and performance</t>
  </si>
  <si>
    <t>39-5091</t>
  </si>
  <si>
    <t>Amusement and recreation attendants</t>
  </si>
  <si>
    <t>39-3091</t>
  </si>
  <si>
    <t>Funeral attendants</t>
  </si>
  <si>
    <t>39-4021</t>
  </si>
  <si>
    <t>Hairdressers, hairstylists, and cosmetologists</t>
  </si>
  <si>
    <t>39-5012</t>
  </si>
  <si>
    <t>Barbers</t>
  </si>
  <si>
    <t>39-5011</t>
  </si>
  <si>
    <t>Embalmers</t>
  </si>
  <si>
    <t>39-4011</t>
  </si>
  <si>
    <t>Animal caretakers</t>
  </si>
  <si>
    <t>39-2021</t>
  </si>
  <si>
    <t>Shampooers</t>
  </si>
  <si>
    <t>39-5093</t>
  </si>
  <si>
    <t>Animal trainers</t>
  </si>
  <si>
    <t>39-2011</t>
  </si>
  <si>
    <t>Baggage porters and bellhops</t>
  </si>
  <si>
    <t>39-6011</t>
  </si>
  <si>
    <t>Exercise trainers and group fitness instructors</t>
  </si>
  <si>
    <t>39-9031</t>
  </si>
  <si>
    <t>Insurance sales agents</t>
  </si>
  <si>
    <t>41-3021</t>
  </si>
  <si>
    <t>41</t>
  </si>
  <si>
    <t>First-line supervisors of non-retail sales workers</t>
  </si>
  <si>
    <t>41-1012</t>
  </si>
  <si>
    <t>Securities, commodities, and financial services sales agents</t>
  </si>
  <si>
    <t>41-3031</t>
  </si>
  <si>
    <t>Advertising sales agents</t>
  </si>
  <si>
    <t>41-3011</t>
  </si>
  <si>
    <t>Real estate brokers</t>
  </si>
  <si>
    <t>41-9021</t>
  </si>
  <si>
    <t>Sales engineers</t>
  </si>
  <si>
    <t>41-9031</t>
  </si>
  <si>
    <t>Travel agents</t>
  </si>
  <si>
    <t>41-3041</t>
  </si>
  <si>
    <t>Telemarketers</t>
  </si>
  <si>
    <t>41-9041</t>
  </si>
  <si>
    <t>Door-to-door sales workers, news and street vendors, and related workers</t>
  </si>
  <si>
    <t>41-9091</t>
  </si>
  <si>
    <t>Sales representatives, wholesale and manufacturing, technical and scientific products</t>
  </si>
  <si>
    <t>41-4011</t>
  </si>
  <si>
    <t>Real estate sales agents</t>
  </si>
  <si>
    <t>41-9022</t>
  </si>
  <si>
    <t>Sales representatives, wholesale and manufacturing, except technical and scientific products</t>
  </si>
  <si>
    <t>41-4012</t>
  </si>
  <si>
    <t>Demonstrators and product promoters</t>
  </si>
  <si>
    <t>41-9011</t>
  </si>
  <si>
    <t>Retail salespersons</t>
  </si>
  <si>
    <t>41-2031</t>
  </si>
  <si>
    <t>Counter and rental clerks</t>
  </si>
  <si>
    <t>41-2021</t>
  </si>
  <si>
    <t>First-line supervisors of retail sales workers</t>
  </si>
  <si>
    <t>41-1011</t>
  </si>
  <si>
    <t>Sales representatives of services, except advertising, insurance, financial services, and travel</t>
  </si>
  <si>
    <t>41-3091</t>
  </si>
  <si>
    <t>Sales and related workers, all other</t>
  </si>
  <si>
    <t>41-9099</t>
  </si>
  <si>
    <t>Gambling change persons and booth cashiers</t>
  </si>
  <si>
    <t>41-2012</t>
  </si>
  <si>
    <t>Parts salespersons</t>
  </si>
  <si>
    <t>41-2022</t>
  </si>
  <si>
    <t>Cashiers</t>
  </si>
  <si>
    <t>41-2011</t>
  </si>
  <si>
    <t>Models</t>
  </si>
  <si>
    <t>41-9012</t>
  </si>
  <si>
    <t>Procurement clerks</t>
  </si>
  <si>
    <t>43-3061</t>
  </si>
  <si>
    <t>43</t>
  </si>
  <si>
    <t>Credit authorizers, checkers, and clerks</t>
  </si>
  <si>
    <t>43-4041</t>
  </si>
  <si>
    <t>Cargo and freight agents</t>
  </si>
  <si>
    <t>43-5011</t>
  </si>
  <si>
    <t>Statistical assistants</t>
  </si>
  <si>
    <t>43-9111</t>
  </si>
  <si>
    <t>Loan interviewers and clerks</t>
  </si>
  <si>
    <t>43-4131</t>
  </si>
  <si>
    <t>Human resources assistants, except payroll and timekeeping</t>
  </si>
  <si>
    <t>43-4161</t>
  </si>
  <si>
    <t>Billing and posting clerks</t>
  </si>
  <si>
    <t>43-3021</t>
  </si>
  <si>
    <t>Interviewers, except eligibility and loan</t>
  </si>
  <si>
    <t>43-4111</t>
  </si>
  <si>
    <t>Proofreaders and copy markers</t>
  </si>
  <si>
    <t>43-9081</t>
  </si>
  <si>
    <t>Bill and account collectors</t>
  </si>
  <si>
    <t>43-3011</t>
  </si>
  <si>
    <t>Payroll and timekeeping clerks</t>
  </si>
  <si>
    <t>43-3051</t>
  </si>
  <si>
    <t>Insurance claims and policy processing clerks</t>
  </si>
  <si>
    <t>43-9041</t>
  </si>
  <si>
    <t>Dispatchers, except police, fire, and ambulance</t>
  </si>
  <si>
    <t>43-5032</t>
  </si>
  <si>
    <t>Eligibility interviewers, government programs</t>
  </si>
  <si>
    <t>43-4061</t>
  </si>
  <si>
    <t>Medical secretaries and administrative assistants</t>
  </si>
  <si>
    <t>43-6013</t>
  </si>
  <si>
    <t>New accounts clerks</t>
  </si>
  <si>
    <t>43-4141</t>
  </si>
  <si>
    <t>Court, municipal, and license clerks</t>
  </si>
  <si>
    <t>43-4031</t>
  </si>
  <si>
    <t>Correspondence clerks</t>
  </si>
  <si>
    <t>43-4021</t>
  </si>
  <si>
    <t>Brokerage clerks</t>
  </si>
  <si>
    <t>43-4011</t>
  </si>
  <si>
    <t>Secretaries and administrative assistants, except legal, medical, and executive</t>
  </si>
  <si>
    <t>43-6014</t>
  </si>
  <si>
    <t>Executive secretaries and executive administrative assistants</t>
  </si>
  <si>
    <t>43-6011</t>
  </si>
  <si>
    <t>Bookkeeping, accounting, and auditing clerks</t>
  </si>
  <si>
    <t>43-3031</t>
  </si>
  <si>
    <t>First-line supervisors of office and administrative support workers</t>
  </si>
  <si>
    <t>43-1011</t>
  </si>
  <si>
    <t>Telephone operators</t>
  </si>
  <si>
    <t>43-2021</t>
  </si>
  <si>
    <t>Legal secretaries and administrative assistants</t>
  </si>
  <si>
    <t>43-6012</t>
  </si>
  <si>
    <t>Receptionists and information clerks</t>
  </si>
  <si>
    <t>43-4171</t>
  </si>
  <si>
    <t>Office clerks, general</t>
  </si>
  <si>
    <t>43-9061</t>
  </si>
  <si>
    <t>Switchboard operators, including answering service</t>
  </si>
  <si>
    <t>43-2011</t>
  </si>
  <si>
    <t>Customer service representatives</t>
  </si>
  <si>
    <t>43-4051</t>
  </si>
  <si>
    <t>Public safety telecommunicators</t>
  </si>
  <si>
    <t>43-5031</t>
  </si>
  <si>
    <t>Order clerks</t>
  </si>
  <si>
    <t>43-4151</t>
  </si>
  <si>
    <t>Production, planning, and expediting clerks</t>
  </si>
  <si>
    <t>43-5061</t>
  </si>
  <si>
    <t>Word processors and typists</t>
  </si>
  <si>
    <t>43-9022</t>
  </si>
  <si>
    <t>Hotel, motel, and resort desk clerks</t>
  </si>
  <si>
    <t>43-4081</t>
  </si>
  <si>
    <t>Tellers</t>
  </si>
  <si>
    <t>43-3071</t>
  </si>
  <si>
    <t>Gambling cage workers</t>
  </si>
  <si>
    <t>43-3041</t>
  </si>
  <si>
    <t>Desktop publishers</t>
  </si>
  <si>
    <t>43-9031</t>
  </si>
  <si>
    <t>Data entry keyers</t>
  </si>
  <si>
    <t>43-9021</t>
  </si>
  <si>
    <t>File clerks</t>
  </si>
  <si>
    <t>43-4071</t>
  </si>
  <si>
    <t>Reservation and transportation ticket agents and travel clerks</t>
  </si>
  <si>
    <t>43-4181</t>
  </si>
  <si>
    <t>Library assistants, clerical</t>
  </si>
  <si>
    <t>43-4121</t>
  </si>
  <si>
    <t>Communications equipment operators, all other</t>
  </si>
  <si>
    <t>43-2099</t>
  </si>
  <si>
    <t>Financial clerks, all other</t>
  </si>
  <si>
    <t>43-3099</t>
  </si>
  <si>
    <t>Information and record clerks, all other</t>
  </si>
  <si>
    <t>43-4199</t>
  </si>
  <si>
    <t>Office and administrative support workers, all other</t>
  </si>
  <si>
    <t>43-9199</t>
  </si>
  <si>
    <t>Weighers, measurers, checkers, and samplers, recordkeeping</t>
  </si>
  <si>
    <t>43-5111</t>
  </si>
  <si>
    <t>Office machine operators, except computer</t>
  </si>
  <si>
    <t>43-9071</t>
  </si>
  <si>
    <t>Postal service clerks</t>
  </si>
  <si>
    <t>43-5051</t>
  </si>
  <si>
    <t>Shipping, receiving, and inventory clerks</t>
  </si>
  <si>
    <t>43-5071</t>
  </si>
  <si>
    <t>Mail clerks and mail machine operators, except postal service</t>
  </si>
  <si>
    <t>43-9051</t>
  </si>
  <si>
    <t>Couriers and messengers</t>
  </si>
  <si>
    <t>43-5021</t>
  </si>
  <si>
    <t>Meter readers, utilities</t>
  </si>
  <si>
    <t>43-5041</t>
  </si>
  <si>
    <t>Postal service mail carriers</t>
  </si>
  <si>
    <t>43-5052</t>
  </si>
  <si>
    <t>Postal service mail sorters, processors, and processing machine operators</t>
  </si>
  <si>
    <t>43-5053</t>
  </si>
  <si>
    <t>Agricultural inspectors</t>
  </si>
  <si>
    <t>45-2011</t>
  </si>
  <si>
    <t>45</t>
  </si>
  <si>
    <t>Agricultural workers, all other</t>
  </si>
  <si>
    <t>45-2099</t>
  </si>
  <si>
    <t>Fishing and hunting workers</t>
  </si>
  <si>
    <t>45-3031</t>
  </si>
  <si>
    <t>Logging workers, all other</t>
  </si>
  <si>
    <t>45-4029</t>
  </si>
  <si>
    <t>Log graders and scalers</t>
  </si>
  <si>
    <t>45-4023</t>
  </si>
  <si>
    <t>First-line supervisors of farming, fishing, and forestry workers</t>
  </si>
  <si>
    <t>45-1011</t>
  </si>
  <si>
    <t>Logging equipment operators</t>
  </si>
  <si>
    <t>45-4022</t>
  </si>
  <si>
    <t>Animal breeders</t>
  </si>
  <si>
    <t>45-2021</t>
  </si>
  <si>
    <t>Forest and conservation workers</t>
  </si>
  <si>
    <t>45-4011</t>
  </si>
  <si>
    <t>Farmworkers, farm, ranch, and aquacultural animals</t>
  </si>
  <si>
    <t>45-2093</t>
  </si>
  <si>
    <t>Agricultural equipment operators</t>
  </si>
  <si>
    <t>45-2091</t>
  </si>
  <si>
    <t>Graders and sorters, agricultural products</t>
  </si>
  <si>
    <t>45-2041</t>
  </si>
  <si>
    <t>Farmworkers and laborers, crop, nursery, and greenhouse</t>
  </si>
  <si>
    <t>45-2092</t>
  </si>
  <si>
    <t>Fallers</t>
  </si>
  <si>
    <t>45-4021</t>
  </si>
  <si>
    <t>Construction and building inspectors</t>
  </si>
  <si>
    <t>47-4011</t>
  </si>
  <si>
    <t>47</t>
  </si>
  <si>
    <t>Helpers, construction trades, all other</t>
  </si>
  <si>
    <t>47-3019</t>
  </si>
  <si>
    <t>Miscellaneous construction and related workers</t>
  </si>
  <si>
    <t>47-4090</t>
  </si>
  <si>
    <t>Excavating and loading machine and dragline operators, surface mining</t>
  </si>
  <si>
    <t>47-5022</t>
  </si>
  <si>
    <t>Earth drillers, except oil and gas</t>
  </si>
  <si>
    <t>47-5023</t>
  </si>
  <si>
    <t>Explosives workers, ordnance handling experts, and blasters</t>
  </si>
  <si>
    <t>47-5032</t>
  </si>
  <si>
    <t>Roof bolters, mining</t>
  </si>
  <si>
    <t>47-5043</t>
  </si>
  <si>
    <t>Loading and moving machine operators, underground mining</t>
  </si>
  <si>
    <t>47-5044</t>
  </si>
  <si>
    <t>Underground mining machine operators, all other</t>
  </si>
  <si>
    <t>47-5049</t>
  </si>
  <si>
    <t>Extraction workers, all other</t>
  </si>
  <si>
    <t>47-5099</t>
  </si>
  <si>
    <t>First-line supervisors of construction trades and extraction workers</t>
  </si>
  <si>
    <t>47-1011</t>
  </si>
  <si>
    <t>Hazardous materials removal workers</t>
  </si>
  <si>
    <t>47-4041</t>
  </si>
  <si>
    <t>Rotary drill operators, oil and gas</t>
  </si>
  <si>
    <t>47-5012</t>
  </si>
  <si>
    <t>Electricians</t>
  </si>
  <si>
    <t>47-2111</t>
  </si>
  <si>
    <t>Elevator and escalator installers and repairers</t>
  </si>
  <si>
    <t>47-4021</t>
  </si>
  <si>
    <t>Operating engineers and other construction equipment operators</t>
  </si>
  <si>
    <t>47-2073</t>
  </si>
  <si>
    <t>Solar photovoltaic installers</t>
  </si>
  <si>
    <t>47-2231</t>
  </si>
  <si>
    <t>Service unit operators, oil and gas</t>
  </si>
  <si>
    <t>47-5013</t>
  </si>
  <si>
    <t>Boilermakers</t>
  </si>
  <si>
    <t>47-2011</t>
  </si>
  <si>
    <t>Plumbers, pipefitters, and steamfitters</t>
  </si>
  <si>
    <t>47-2152</t>
  </si>
  <si>
    <t>Continuous mining machine operators</t>
  </si>
  <si>
    <t>47-5041</t>
  </si>
  <si>
    <t>Sheet metal workers</t>
  </si>
  <si>
    <t>47-2211</t>
  </si>
  <si>
    <t>Paving, surfacing, and tamping equipment operators</t>
  </si>
  <si>
    <t>47-2071</t>
  </si>
  <si>
    <t>Septic tank servicers and sewer pipe cleaners</t>
  </si>
  <si>
    <t>47-4071</t>
  </si>
  <si>
    <t>Pile driver operators</t>
  </si>
  <si>
    <t>47-2072</t>
  </si>
  <si>
    <t>Tile and stone setters</t>
  </si>
  <si>
    <t>47-2044</t>
  </si>
  <si>
    <t>Pipelayers</t>
  </si>
  <si>
    <t>47-2151</t>
  </si>
  <si>
    <t>Insulation workers, mechanical</t>
  </si>
  <si>
    <t>47-2132</t>
  </si>
  <si>
    <t>Highway maintenance workers</t>
  </si>
  <si>
    <t>47-4051</t>
  </si>
  <si>
    <t>Floor layers, except carpet, wood, and hard tiles</t>
  </si>
  <si>
    <t>47-2042</t>
  </si>
  <si>
    <t>Carpenters</t>
  </si>
  <si>
    <t>47-2031</t>
  </si>
  <si>
    <t>Glaziers</t>
  </si>
  <si>
    <t>47-2121</t>
  </si>
  <si>
    <t>Rail-track laying and maintenance equipment operators</t>
  </si>
  <si>
    <t>47-4061</t>
  </si>
  <si>
    <t>Derrick operators, oil and gas</t>
  </si>
  <si>
    <t>47-5011</t>
  </si>
  <si>
    <t>Helpers--carpenters</t>
  </si>
  <si>
    <t>47-3012</t>
  </si>
  <si>
    <t>Helpers--electricians</t>
  </si>
  <si>
    <t>47-3013</t>
  </si>
  <si>
    <t>Roustabouts, oil and gas</t>
  </si>
  <si>
    <t>47-5071</t>
  </si>
  <si>
    <t>Tapers</t>
  </si>
  <si>
    <t>47-2082</t>
  </si>
  <si>
    <t>Helpers--extraction workers</t>
  </si>
  <si>
    <t>47-5081</t>
  </si>
  <si>
    <t>Carpet installers</t>
  </si>
  <si>
    <t>47-2041</t>
  </si>
  <si>
    <t>Painters, construction and maintenance</t>
  </si>
  <si>
    <t>47-2141</t>
  </si>
  <si>
    <t>Insulation workers, floor, ceiling, and wall</t>
  </si>
  <si>
    <t>47-2131</t>
  </si>
  <si>
    <t>Construction laborers</t>
  </si>
  <si>
    <t>47-2061</t>
  </si>
  <si>
    <t>Drywall and ceiling tile installers</t>
  </si>
  <si>
    <t>47-2081</t>
  </si>
  <si>
    <t>Helpers--pipelayers, plumbers, pipefitters, and steamfitters</t>
  </si>
  <si>
    <t>47-3015</t>
  </si>
  <si>
    <t>Stonemasons</t>
  </si>
  <si>
    <t>47-2022</t>
  </si>
  <si>
    <t>Paperhangers</t>
  </si>
  <si>
    <t>47-2142</t>
  </si>
  <si>
    <t>Floor sanders and finishers</t>
  </si>
  <si>
    <t>47-2043</t>
  </si>
  <si>
    <t>Roofers</t>
  </si>
  <si>
    <t>47-2181</t>
  </si>
  <si>
    <t>Brickmasons and blockmasons</t>
  </si>
  <si>
    <t>47-2021</t>
  </si>
  <si>
    <t>Plasterers and stucco masons</t>
  </si>
  <si>
    <t>47-2161</t>
  </si>
  <si>
    <t>Rock splitters, quarry</t>
  </si>
  <si>
    <t>47-5051</t>
  </si>
  <si>
    <t>Terrazzo workers and finishers</t>
  </si>
  <si>
    <t>47-2053</t>
  </si>
  <si>
    <t>Cement masons and concrete finishers</t>
  </si>
  <si>
    <t>47-2051</t>
  </si>
  <si>
    <t>Structural iron and steel workers</t>
  </si>
  <si>
    <t>47-2221</t>
  </si>
  <si>
    <t>Helpers--roofers</t>
  </si>
  <si>
    <t>47-3016</t>
  </si>
  <si>
    <t>Fence erectors</t>
  </si>
  <si>
    <t>47-4031</t>
  </si>
  <si>
    <t>Helpers--brickmasons, blockmasons, stonemasons, and tile and marble setters</t>
  </si>
  <si>
    <t>47-3011</t>
  </si>
  <si>
    <t>Reinforcing iron and rebar workers</t>
  </si>
  <si>
    <t>47-2171</t>
  </si>
  <si>
    <t>Helpers--painters, paperhangers, plasterers, and stucco masons</t>
  </si>
  <si>
    <t>47-3014</t>
  </si>
  <si>
    <t>Camera and photographic equipment repairers</t>
  </si>
  <si>
    <t>49-9061</t>
  </si>
  <si>
    <t>49</t>
  </si>
  <si>
    <t>Precision instrument and equipment repairers, all other</t>
  </si>
  <si>
    <t>49-9069</t>
  </si>
  <si>
    <t>First-line supervisors of mechanics, installers, and repairers</t>
  </si>
  <si>
    <t>49-1011</t>
  </si>
  <si>
    <t>Avionics technicians</t>
  </si>
  <si>
    <t>49-2091</t>
  </si>
  <si>
    <t>Watch and clock repairers</t>
  </si>
  <si>
    <t>49-9064</t>
  </si>
  <si>
    <t>Medical equipment repairers</t>
  </si>
  <si>
    <t>49-9062</t>
  </si>
  <si>
    <t>Computer, automated teller, and office machine repairers</t>
  </si>
  <si>
    <t>49-2011</t>
  </si>
  <si>
    <t>Electrical and electronics repairers, commercial and industrial equipment</t>
  </si>
  <si>
    <t>49-2094</t>
  </si>
  <si>
    <t>Musical instrument repairers and tuners</t>
  </si>
  <si>
    <t>49-9063</t>
  </si>
  <si>
    <t>Electrical and electronics repairers, powerhouse, substation, and relay</t>
  </si>
  <si>
    <t>49-2095</t>
  </si>
  <si>
    <t>Audiovisual equipment installers and repairers</t>
  </si>
  <si>
    <t>49-2097</t>
  </si>
  <si>
    <t>Installation, maintenance, and repair workers, all other</t>
  </si>
  <si>
    <t>49-9099</t>
  </si>
  <si>
    <t>Radio, cellular, and tower equipment installers and repairers</t>
  </si>
  <si>
    <t>49-2021</t>
  </si>
  <si>
    <t>Aircraft mechanics and service technicians</t>
  </si>
  <si>
    <t>49-3011</t>
  </si>
  <si>
    <t>Security and fire alarm systems installers</t>
  </si>
  <si>
    <t>49-2098</t>
  </si>
  <si>
    <t>Coin, vending, and amusement machine servicers and repairers</t>
  </si>
  <si>
    <t>49-9091</t>
  </si>
  <si>
    <t>Control and valve installers and repairers, except mechanical door</t>
  </si>
  <si>
    <t>49-9012</t>
  </si>
  <si>
    <t>Motorcycle mechanics</t>
  </si>
  <si>
    <t>49-3052</t>
  </si>
  <si>
    <t>Electronic equipment installers and repairers, motor vehicles</t>
  </si>
  <si>
    <t>49-2096</t>
  </si>
  <si>
    <t>Electric motor, power tool, and related repairers</t>
  </si>
  <si>
    <t>49-2092</t>
  </si>
  <si>
    <t>Electrical and electronics installers and repairers, transportation equipment</t>
  </si>
  <si>
    <t>49-2093</t>
  </si>
  <si>
    <t>Heating, air conditioning, and refrigeration mechanics and installers</t>
  </si>
  <si>
    <t>49-9021</t>
  </si>
  <si>
    <t>Telecommunications equipment installers and repairers, except line installers</t>
  </si>
  <si>
    <t>49-2022</t>
  </si>
  <si>
    <t>Signal and track switch repairers</t>
  </si>
  <si>
    <t>49-9097</t>
  </si>
  <si>
    <t>Locksmiths and safe repairers</t>
  </si>
  <si>
    <t>49-9094</t>
  </si>
  <si>
    <t>Motorboat mechanics and service technicians</t>
  </si>
  <si>
    <t>49-3051</t>
  </si>
  <si>
    <t>Outdoor power equipment and other small engine mechanics</t>
  </si>
  <si>
    <t>49-3053</t>
  </si>
  <si>
    <t>Bicycle repairers</t>
  </si>
  <si>
    <t>49-3091</t>
  </si>
  <si>
    <t>Recreational vehicle service technicians</t>
  </si>
  <si>
    <t>49-3092</t>
  </si>
  <si>
    <t>Automotive service technicians and mechanics</t>
  </si>
  <si>
    <t>49-3023</t>
  </si>
  <si>
    <t>Home appliance repairers</t>
  </si>
  <si>
    <t>49-9031</t>
  </si>
  <si>
    <t>Wind turbine service technicians</t>
  </si>
  <si>
    <t>49-9081</t>
  </si>
  <si>
    <t>Maintenance workers, machinery</t>
  </si>
  <si>
    <t>49-9043</t>
  </si>
  <si>
    <t>Bus and truck mechanics and diesel engine specialists</t>
  </si>
  <si>
    <t>49-3031</t>
  </si>
  <si>
    <t>Maintenance and repair workers, general</t>
  </si>
  <si>
    <t>49-9071</t>
  </si>
  <si>
    <t>Electrical power-line installers and repairers</t>
  </si>
  <si>
    <t>49-9051</t>
  </si>
  <si>
    <t>Telecommunications line installers and repairers</t>
  </si>
  <si>
    <t>49-9052</t>
  </si>
  <si>
    <t>Commercial divers</t>
  </si>
  <si>
    <t>49-9092</t>
  </si>
  <si>
    <t>Industrial machinery mechanics</t>
  </si>
  <si>
    <t>49-9041</t>
  </si>
  <si>
    <t>Mobile heavy equipment mechanics, except engines</t>
  </si>
  <si>
    <t>49-3042</t>
  </si>
  <si>
    <t>Automotive body and related repairers</t>
  </si>
  <si>
    <t>49-3021</t>
  </si>
  <si>
    <t>Automotive glass installers and repairers</t>
  </si>
  <si>
    <t>49-3022</t>
  </si>
  <si>
    <t>Farm equipment mechanics and service technicians</t>
  </si>
  <si>
    <t>49-3041</t>
  </si>
  <si>
    <t>Riggers</t>
  </si>
  <si>
    <t>49-9096</t>
  </si>
  <si>
    <t>Refractory materials repairers, except brickmasons</t>
  </si>
  <si>
    <t>49-9045</t>
  </si>
  <si>
    <t>Millwrights</t>
  </si>
  <si>
    <t>49-9044</t>
  </si>
  <si>
    <t>Helpers--installation, maintenance, and repair workers</t>
  </si>
  <si>
    <t>49-9098</t>
  </si>
  <si>
    <t>Mechanical door repairers</t>
  </si>
  <si>
    <t>49-9011</t>
  </si>
  <si>
    <t>Manufactured building and mobile home installers</t>
  </si>
  <si>
    <t>49-9095</t>
  </si>
  <si>
    <t>Rail car repairers</t>
  </si>
  <si>
    <t>49-3043</t>
  </si>
  <si>
    <t>Tire repairers and changers</t>
  </si>
  <si>
    <t>49-3093</t>
  </si>
  <si>
    <t>Nuclear power reactor operators</t>
  </si>
  <si>
    <t>51-8011</t>
  </si>
  <si>
    <t>51</t>
  </si>
  <si>
    <t>Power distributors and dispatchers</t>
  </si>
  <si>
    <t>51-8012</t>
  </si>
  <si>
    <t>Prepress technicians and workers</t>
  </si>
  <si>
    <t>51-5111</t>
  </si>
  <si>
    <t>Dental laboratory technicians</t>
  </si>
  <si>
    <t>51-9081</t>
  </si>
  <si>
    <t>Electrical, electronic, and electromechanical assemblers, except coil winders, tapers, and finishers</t>
  </si>
  <si>
    <t>51-2028</t>
  </si>
  <si>
    <t>Fiberglass laminators and fabricators</t>
  </si>
  <si>
    <t>51-2051</t>
  </si>
  <si>
    <t>Timing device assemblers and adjusters</t>
  </si>
  <si>
    <t>51-2061</t>
  </si>
  <si>
    <t>Miscellaneous assemblers and fabricators</t>
  </si>
  <si>
    <t>51-2090</t>
  </si>
  <si>
    <t>Food processing workers, all other</t>
  </si>
  <si>
    <t>51-3099</t>
  </si>
  <si>
    <t>Metal workers and plastic workers, all other</t>
  </si>
  <si>
    <t>51-4199</t>
  </si>
  <si>
    <t>Textile, apparel, and furnishings workers, all other</t>
  </si>
  <si>
    <t>51-6099</t>
  </si>
  <si>
    <t>Woodworkers, all other</t>
  </si>
  <si>
    <t>51-7099</t>
  </si>
  <si>
    <t>Coating, painting, and spraying machine setters, operators, and tenders</t>
  </si>
  <si>
    <t>51-9124</t>
  </si>
  <si>
    <t>Computer numerically controlled tool operators</t>
  </si>
  <si>
    <t>51-9161</t>
  </si>
  <si>
    <t>Computer numerically controlled tool programmers</t>
  </si>
  <si>
    <t>51-9162</t>
  </si>
  <si>
    <t>Inspectors, testers, sorters, samplers, and weighers</t>
  </si>
  <si>
    <t>51-9061</t>
  </si>
  <si>
    <t>Fabric and apparel patternmakers</t>
  </si>
  <si>
    <t>51-6092</t>
  </si>
  <si>
    <t>First-line supervisors of production and operating workers</t>
  </si>
  <si>
    <t>51-1011</t>
  </si>
  <si>
    <t>Jewelers and precious stone and metal workers</t>
  </si>
  <si>
    <t>51-9071</t>
  </si>
  <si>
    <t>Gas plant operators</t>
  </si>
  <si>
    <t>51-8092</t>
  </si>
  <si>
    <t>Power plant operators</t>
  </si>
  <si>
    <t>51-8013</t>
  </si>
  <si>
    <t>Photographic process workers and processing machine operators</t>
  </si>
  <si>
    <t>51-9151</t>
  </si>
  <si>
    <t>Petroleum pump system operators, refinery operators, and gaugers</t>
  </si>
  <si>
    <t>51-8093</t>
  </si>
  <si>
    <t>Food batchmakers</t>
  </si>
  <si>
    <t>51-3092</t>
  </si>
  <si>
    <t>Chemical plant and system operators</t>
  </si>
  <si>
    <t>51-8091</t>
  </si>
  <si>
    <t>Bakers</t>
  </si>
  <si>
    <t>51-3011</t>
  </si>
  <si>
    <t>Tailors, dressmakers, and custom sewers</t>
  </si>
  <si>
    <t>51-6052</t>
  </si>
  <si>
    <t>Water and wastewater treatment plant and system operators</t>
  </si>
  <si>
    <t>51-8031</t>
  </si>
  <si>
    <t>Medical appliance technicians</t>
  </si>
  <si>
    <t>51-9082</t>
  </si>
  <si>
    <t>Stationary engineers and boiler operators</t>
  </si>
  <si>
    <t>51-8021</t>
  </si>
  <si>
    <t>Chemical equipment operators and tenders</t>
  </si>
  <si>
    <t>51-9011</t>
  </si>
  <si>
    <t>Tool and die makers</t>
  </si>
  <si>
    <t>51-4111</t>
  </si>
  <si>
    <t>Food cooking machine operators and tenders</t>
  </si>
  <si>
    <t>51-3093</t>
  </si>
  <si>
    <t>Ophthalmic laboratory technicians</t>
  </si>
  <si>
    <t>51-9083</t>
  </si>
  <si>
    <t>Sewers, hand</t>
  </si>
  <si>
    <t>51-6051</t>
  </si>
  <si>
    <t>Patternmakers, metal and plastic</t>
  </si>
  <si>
    <t>51-4062</t>
  </si>
  <si>
    <t>Semiconductor processing technicians</t>
  </si>
  <si>
    <t>51-9141</t>
  </si>
  <si>
    <t>Etchers and engravers</t>
  </si>
  <si>
    <t>51-9194</t>
  </si>
  <si>
    <t>Plant and system operators, all other</t>
  </si>
  <si>
    <t>51-8099</t>
  </si>
  <si>
    <t>Printing press operators</t>
  </si>
  <si>
    <t>51-5112</t>
  </si>
  <si>
    <t>Layout workers, metal and plastic</t>
  </si>
  <si>
    <t>51-4192</t>
  </si>
  <si>
    <t>Model makers, wood</t>
  </si>
  <si>
    <t>51-7031</t>
  </si>
  <si>
    <t>Model makers, metal and plastic</t>
  </si>
  <si>
    <t>51-4061</t>
  </si>
  <si>
    <t>Multiple machine tool setters, operators, and tenders, metal and plastic</t>
  </si>
  <si>
    <t>51-4081</t>
  </si>
  <si>
    <t>Food and tobacco roasting, baking, and drying machine operators and tenders</t>
  </si>
  <si>
    <t>51-3091</t>
  </si>
  <si>
    <t>Drilling and boring machine tool setters, operators, and tenders, metal and plastic</t>
  </si>
  <si>
    <t>51-4032</t>
  </si>
  <si>
    <t>Forging machine setters, operators, and tenders, metal and plastic</t>
  </si>
  <si>
    <t>51-4022</t>
  </si>
  <si>
    <t>Mixing and blending machine setters, operators, and tenders</t>
  </si>
  <si>
    <t>51-9023</t>
  </si>
  <si>
    <t>Coil winders, tapers, and finishers</t>
  </si>
  <si>
    <t>51-2021</t>
  </si>
  <si>
    <t>Extruding and forming machine setters, operators, and tenders, synthetic and glass fibers</t>
  </si>
  <si>
    <t>51-6091</t>
  </si>
  <si>
    <t>Textile bleaching and dyeing machine operators and tenders</t>
  </si>
  <si>
    <t>51-6061</t>
  </si>
  <si>
    <t>Machinists</t>
  </si>
  <si>
    <t>51-4041</t>
  </si>
  <si>
    <t>Aircraft structure, surfaces, rigging, and systems assemblers</t>
  </si>
  <si>
    <t>51-2011</t>
  </si>
  <si>
    <t>Milling and planing machine setters, operators, and tenders, metal and plastic</t>
  </si>
  <si>
    <t>51-4035</t>
  </si>
  <si>
    <t>Paper goods machine setters, operators, and tenders</t>
  </si>
  <si>
    <t>51-9196</t>
  </si>
  <si>
    <t>Tool grinders, filers, and sharpeners</t>
  </si>
  <si>
    <t>51-4194</t>
  </si>
  <si>
    <t>Plating machine setters, operators, and tenders, metal and plastic</t>
  </si>
  <si>
    <t>51-4193</t>
  </si>
  <si>
    <t>Print binding and finishing workers</t>
  </si>
  <si>
    <t>51-5113</t>
  </si>
  <si>
    <t>Separating, filtering, clarifying, precipitating, and still machine setters, operators, and tenders</t>
  </si>
  <si>
    <t>51-9012</t>
  </si>
  <si>
    <t>Cutters and trimmers, hand</t>
  </si>
  <si>
    <t>51-9031</t>
  </si>
  <si>
    <t>Engine and other machine assemblers</t>
  </si>
  <si>
    <t>51-2031</t>
  </si>
  <si>
    <t>Furnace, kiln, oven, drier, and kettle operators and tenders</t>
  </si>
  <si>
    <t>51-9051</t>
  </si>
  <si>
    <t>Cooling and freezing equipment operators and tenders</t>
  </si>
  <si>
    <t>51-9193</t>
  </si>
  <si>
    <t>Sewing machine operators</t>
  </si>
  <si>
    <t>51-6031</t>
  </si>
  <si>
    <t>Painting, coating, and decorating workers</t>
  </si>
  <si>
    <t>51-9123</t>
  </si>
  <si>
    <t>Butchers and meat cutters</t>
  </si>
  <si>
    <t>51-3021</t>
  </si>
  <si>
    <t>Packaging and filling machine operators and tenders</t>
  </si>
  <si>
    <t>51-9111</t>
  </si>
  <si>
    <t>Grinding, lapping, polishing, and buffing machine tool setters, operators, and tenders, metal and plastic</t>
  </si>
  <si>
    <t>51-4033</t>
  </si>
  <si>
    <t>Shoe and leather workers and repairers</t>
  </si>
  <si>
    <t>51-6041</t>
  </si>
  <si>
    <t>Welding, soldering, and brazing machine setters, operators, and tenders</t>
  </si>
  <si>
    <t>51-4122</t>
  </si>
  <si>
    <t>Pourers and casters, metal</t>
  </si>
  <si>
    <t>51-4052</t>
  </si>
  <si>
    <t>Textile cutting machine setters, operators, and tenders</t>
  </si>
  <si>
    <t>51-6062</t>
  </si>
  <si>
    <t>Shoe machine operators and tenders</t>
  </si>
  <si>
    <t>51-6042</t>
  </si>
  <si>
    <t>Cutting, punching, and press machine setters, operators, and tenders, metal and plastic</t>
  </si>
  <si>
    <t>51-4031</t>
  </si>
  <si>
    <t>Extruding, forming, pressing, and compacting machine setters, operators, and tenders</t>
  </si>
  <si>
    <t>51-9041</t>
  </si>
  <si>
    <t>Crushing, grinding, and polishing machine setters, operators, and tenders</t>
  </si>
  <si>
    <t>51-9021</t>
  </si>
  <si>
    <t>Laundry and dry-cleaning workers</t>
  </si>
  <si>
    <t>51-6011</t>
  </si>
  <si>
    <t>Patternmakers, wood</t>
  </si>
  <si>
    <t>51-7032</t>
  </si>
  <si>
    <t>Lathe and turning machine tool setters, operators, and tenders, metal and plastic</t>
  </si>
  <si>
    <t>51-4034</t>
  </si>
  <si>
    <t>Structural metal fabricators and fitters</t>
  </si>
  <si>
    <t>51-2041</t>
  </si>
  <si>
    <t>Cutting and slicing machine setters, operators, and tenders</t>
  </si>
  <si>
    <t>51-9032</t>
  </si>
  <si>
    <t>Rolling machine setters, operators, and tenders, metal and plastic</t>
  </si>
  <si>
    <t>51-4023</t>
  </si>
  <si>
    <t>Heat treating equipment setters, operators, and tenders, metal and plastic</t>
  </si>
  <si>
    <t>51-4191</t>
  </si>
  <si>
    <t>Meat, poultry, and fish cutters and trimmers</t>
  </si>
  <si>
    <t>51-3022</t>
  </si>
  <si>
    <t>Woodworking machine setters, operators, and tenders, except sawing</t>
  </si>
  <si>
    <t>51-7042</t>
  </si>
  <si>
    <t>Cleaning, washing, and metal pickling equipment operators and tenders</t>
  </si>
  <si>
    <t>51-9192</t>
  </si>
  <si>
    <t>Molding, coremaking, and casting machine setters, operators, and tenders, metal and plastic</t>
  </si>
  <si>
    <t>51-4072</t>
  </si>
  <si>
    <t>Grinding and polishing workers, hand</t>
  </si>
  <si>
    <t>51-9022</t>
  </si>
  <si>
    <t>Sawing machine setters, operators, and tenders, wood</t>
  </si>
  <si>
    <t>51-7041</t>
  </si>
  <si>
    <t>Metal-refining furnace operators and tenders</t>
  </si>
  <si>
    <t>51-4051</t>
  </si>
  <si>
    <t>Molders, shapers, and casters, except metal and plastic</t>
  </si>
  <si>
    <t>51-9195</t>
  </si>
  <si>
    <t>Welders, cutters, solderers, and brazers</t>
  </si>
  <si>
    <t>51-4121</t>
  </si>
  <si>
    <t>Furniture finishers</t>
  </si>
  <si>
    <t>51-7021</t>
  </si>
  <si>
    <t>Extruding and drawing machine setters, operators, and tenders, metal and plastic</t>
  </si>
  <si>
    <t>51-4021</t>
  </si>
  <si>
    <t>Textile knitting and weaving machine setters, operators, and tenders</t>
  </si>
  <si>
    <t>51-6063</t>
  </si>
  <si>
    <t>Production workers, all other</t>
  </si>
  <si>
    <t>51-9199</t>
  </si>
  <si>
    <t>Adhesive bonding machine operators and tenders</t>
  </si>
  <si>
    <t>51-9191</t>
  </si>
  <si>
    <t>Upholsterers</t>
  </si>
  <si>
    <t>51-6093</t>
  </si>
  <si>
    <t>Cabinetmakers and bench carpenters</t>
  </si>
  <si>
    <t>51-7011</t>
  </si>
  <si>
    <t>Textile winding, twisting, and drawing out machine setters, operators, and tenders</t>
  </si>
  <si>
    <t>51-6064</t>
  </si>
  <si>
    <t>Helpers--production workers</t>
  </si>
  <si>
    <t>51-9198</t>
  </si>
  <si>
    <t>Tire builders</t>
  </si>
  <si>
    <t>51-9197</t>
  </si>
  <si>
    <t>Foundry mold and coremakers</t>
  </si>
  <si>
    <t>51-4071</t>
  </si>
  <si>
    <t>Slaughterers and meat packers</t>
  </si>
  <si>
    <t>51-3023</t>
  </si>
  <si>
    <t>Pressers, textile, garment, and related materials</t>
  </si>
  <si>
    <t>51-6021</t>
  </si>
  <si>
    <t>Air traffic controllers</t>
  </si>
  <si>
    <t>53-2021</t>
  </si>
  <si>
    <t>53</t>
  </si>
  <si>
    <t>Airfield operations specialists</t>
  </si>
  <si>
    <t>53-2022</t>
  </si>
  <si>
    <t>Traffic technicians</t>
  </si>
  <si>
    <t>53-6041</t>
  </si>
  <si>
    <t>Aircraft cargo handling supervisors</t>
  </si>
  <si>
    <t>53-1041</t>
  </si>
  <si>
    <t>First-line supervisors of transportation and material moving workers, except aircraft cargo handling supervisors</t>
  </si>
  <si>
    <t>53-1047</t>
  </si>
  <si>
    <t>Bus drivers, school</t>
  </si>
  <si>
    <t>53-3051</t>
  </si>
  <si>
    <t>Bus drivers, transit and intercity</t>
  </si>
  <si>
    <t>53-3052</t>
  </si>
  <si>
    <t>Shuttle drivers and chauffeurs</t>
  </si>
  <si>
    <t>53-3053</t>
  </si>
  <si>
    <t>Taxi drivers</t>
  </si>
  <si>
    <t>53-3054</t>
  </si>
  <si>
    <t>Motor vehicle operators, all other</t>
  </si>
  <si>
    <t>53-3099</t>
  </si>
  <si>
    <t>Railroad brake, signal, and switch operators and locomotive firers</t>
  </si>
  <si>
    <t>53-4022</t>
  </si>
  <si>
    <t>Rail transportation workers, all other</t>
  </si>
  <si>
    <t>53-4099</t>
  </si>
  <si>
    <t>Aircraft service attendants</t>
  </si>
  <si>
    <t>53-6032</t>
  </si>
  <si>
    <t>Transportation workers, all other</t>
  </si>
  <si>
    <t>53-6099</t>
  </si>
  <si>
    <t>Stockers and order fillers</t>
  </si>
  <si>
    <t>53-7065</t>
  </si>
  <si>
    <t>Material moving workers, all other</t>
  </si>
  <si>
    <t>53-7199</t>
  </si>
  <si>
    <t>Commercial pilots</t>
  </si>
  <si>
    <t>53-2012</t>
  </si>
  <si>
    <t>Transportation inspectors</t>
  </si>
  <si>
    <t>53-6051</t>
  </si>
  <si>
    <t>Airline pilots, copilots, and flight engineers</t>
  </si>
  <si>
    <t>53-2011</t>
  </si>
  <si>
    <t>Passenger attendants</t>
  </si>
  <si>
    <t>53-6061</t>
  </si>
  <si>
    <t>Captains, mates, and pilots of water vessels</t>
  </si>
  <si>
    <t>53-5021</t>
  </si>
  <si>
    <t>Railroad conductors and yardmasters</t>
  </si>
  <si>
    <t>53-4031</t>
  </si>
  <si>
    <t>Locomotive engineers</t>
  </si>
  <si>
    <t>53-4011</t>
  </si>
  <si>
    <t>Ship engineers</t>
  </si>
  <si>
    <t>53-5031</t>
  </si>
  <si>
    <t>Subway and streetcar operators</t>
  </si>
  <si>
    <t>53-4041</t>
  </si>
  <si>
    <t>Bridge and lock tenders</t>
  </si>
  <si>
    <t>53-6011</t>
  </si>
  <si>
    <t>Gas compressor and gas pumping station operators</t>
  </si>
  <si>
    <t>53-7071</t>
  </si>
  <si>
    <t>Driver/sales workers</t>
  </si>
  <si>
    <t>53-3031</t>
  </si>
  <si>
    <t>Conveyor operators and tenders</t>
  </si>
  <si>
    <t>53-7011</t>
  </si>
  <si>
    <t>Flight attendants</t>
  </si>
  <si>
    <t>53-2031</t>
  </si>
  <si>
    <t>Ambulance drivers and attendants, except emergency medical technicians</t>
  </si>
  <si>
    <t>53-3011</t>
  </si>
  <si>
    <t>Rail yard engineers, dinkey operators, and hostlers</t>
  </si>
  <si>
    <t>53-4013</t>
  </si>
  <si>
    <t>Parking attendants</t>
  </si>
  <si>
    <t>53-6021</t>
  </si>
  <si>
    <t>Pump operators, except wellhead pumpers</t>
  </si>
  <si>
    <t>53-7072</t>
  </si>
  <si>
    <t>Motorboat operators</t>
  </si>
  <si>
    <t>53-5022</t>
  </si>
  <si>
    <t>Hoist and winch operators</t>
  </si>
  <si>
    <t>53-7041</t>
  </si>
  <si>
    <t>Dredge operators</t>
  </si>
  <si>
    <t>53-7031</t>
  </si>
  <si>
    <t>Crane and tower operators</t>
  </si>
  <si>
    <t>53-7021</t>
  </si>
  <si>
    <t>Machine feeders and offbearers</t>
  </si>
  <si>
    <t>53-7063</t>
  </si>
  <si>
    <t>Wellhead pumpers</t>
  </si>
  <si>
    <t>53-7073</t>
  </si>
  <si>
    <t>Light truck drivers</t>
  </si>
  <si>
    <t>53-3033</t>
  </si>
  <si>
    <t>Heavy and tractor-trailer truck drivers</t>
  </si>
  <si>
    <t>53-3032</t>
  </si>
  <si>
    <t>Sailors and marine oilers</t>
  </si>
  <si>
    <t>53-5011</t>
  </si>
  <si>
    <t>Automotive and watercraft service attendants</t>
  </si>
  <si>
    <t>53-6031</t>
  </si>
  <si>
    <t>Refuse and recyclable material collectors</t>
  </si>
  <si>
    <t>53-7081</t>
  </si>
  <si>
    <t>Tank car, truck, and ship loaders</t>
  </si>
  <si>
    <t>53-7121</t>
  </si>
  <si>
    <t>Industrial truck and tractor operators</t>
  </si>
  <si>
    <t>53-7051</t>
  </si>
  <si>
    <t>Packers and packagers, hand</t>
  </si>
  <si>
    <t>53-7064</t>
  </si>
  <si>
    <t>Cleaners of vehicles and equipment</t>
  </si>
  <si>
    <t>53-7061</t>
  </si>
  <si>
    <t>Laborers and freight, stock, and material movers, hand</t>
  </si>
  <si>
    <t>53-7062</t>
  </si>
  <si>
    <t xml:space="preserve">Average of AIOE </t>
  </si>
  <si>
    <t>Average of Employment change, percent, 2024–34</t>
  </si>
  <si>
    <t>Req. Educ</t>
  </si>
  <si>
    <t>Avg AIOE</t>
  </si>
  <si>
    <t xml:space="preserve">Master's </t>
  </si>
  <si>
    <t>PhD/Prof</t>
  </si>
  <si>
    <t xml:space="preserve">Bachelor's </t>
  </si>
  <si>
    <t>Some college</t>
  </si>
  <si>
    <t xml:space="preserve">Associate's </t>
  </si>
  <si>
    <t>Postsecondary</t>
  </si>
  <si>
    <t xml:space="preserve">HS diploma </t>
  </si>
  <si>
    <t>No formal</t>
  </si>
  <si>
    <t>Grand Total</t>
  </si>
  <si>
    <t>Wage Range</t>
  </si>
  <si>
    <t>Count of Occupations</t>
  </si>
  <si>
    <t>Avg. AIOE</t>
  </si>
  <si>
    <t>Avg. AIOE ; AIOE &gt; 0</t>
  </si>
  <si>
    <t xml:space="preserve">Avg. %  Growth </t>
  </si>
  <si>
    <t>Avg % Growth</t>
  </si>
  <si>
    <t>Under 45K</t>
  </si>
  <si>
    <t>45K - 75K</t>
  </si>
  <si>
    <t>45K-75K</t>
  </si>
  <si>
    <t>75K - 100K</t>
  </si>
  <si>
    <t>75K-100K</t>
  </si>
  <si>
    <t>Over 100K</t>
  </si>
  <si>
    <t>Average of Employment change, numeric, 2024–34</t>
  </si>
  <si>
    <t>SOC Code</t>
  </si>
  <si>
    <t>AVG AIOE</t>
  </si>
  <si>
    <t>SOC Category Reference Key</t>
  </si>
  <si>
    <t xml:space="preserve">High AIOE/Cognitive </t>
  </si>
  <si>
    <t xml:space="preserve">Low AIOE/ Physical &amp; Care Based </t>
  </si>
  <si>
    <t>23:Legal</t>
  </si>
  <si>
    <t>29:Healthcare Prac</t>
  </si>
  <si>
    <t>13:Business &amp; Finance</t>
  </si>
  <si>
    <t>31: Healthcare Support</t>
  </si>
  <si>
    <t>15: Computer &amp; Math</t>
  </si>
  <si>
    <t xml:space="preserve">35: Food Prep &amp; Service </t>
  </si>
  <si>
    <t>25: Educational/Inst.</t>
  </si>
  <si>
    <t>47: Construction</t>
  </si>
  <si>
    <t xml:space="preserve">43: Office &amp; Admin </t>
  </si>
  <si>
    <t>51: Production</t>
  </si>
  <si>
    <t>%Avg Change '24-'24</t>
  </si>
  <si>
    <t>Occupation Title</t>
  </si>
  <si>
    <t>AIOE</t>
  </si>
  <si>
    <t>Chief Executives</t>
  </si>
  <si>
    <t>General and Operations Managers</t>
  </si>
  <si>
    <t>Advertising and Promotions Managers</t>
  </si>
  <si>
    <t>Marketing Managers</t>
  </si>
  <si>
    <t>Sales Managers</t>
  </si>
  <si>
    <t>11-2031</t>
  </si>
  <si>
    <t>Public Relations Managers</t>
  </si>
  <si>
    <t>11-3011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</si>
  <si>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</si>
  <si>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</si>
  <si>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</si>
  <si>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</si>
  <si>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</si>
  <si>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</si>
  <si>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</si>
  <si>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</si>
  <si>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</si>
  <si>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</si>
  <si>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</si>
  <si>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 Care Center/Program</t>
  </si>
  <si>
    <t>Education Administrators, Elementary and Secondary School</t>
  </si>
  <si>
    <t>Education Administrators, Postsecondary</t>
  </si>
  <si>
    <t>Education Administrators, All Other</t>
  </si>
  <si>
    <t>Engineering Managers</t>
  </si>
  <si>
    <t>Food Service Managers</t>
  </si>
  <si>
    <t>11-9061</t>
  </si>
  <si>
    <t>Funeral Directors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</si>
  <si>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</si>
  <si>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</si>
  <si>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</si>
  <si>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</si>
  <si>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</si>
  <si>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</si>
  <si>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</si>
  <si>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</si>
  <si>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</si>
  <si>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Agents and Business Managers of Artists, Performers, and Athletes</t>
  </si>
  <si>
    <t>13-1021</t>
  </si>
  <si>
    <t>Purchasing Agents and Buyers, Farm Products</t>
  </si>
  <si>
    <t>13-1022</t>
  </si>
  <si>
    <t>Wholesale and Retail Buyers, Except Farm Products</t>
  </si>
  <si>
    <t>13-1023</t>
  </si>
  <si>
    <t>Purchasing Agents, Except Wholesale, Retail, and Farm Products</t>
  </si>
  <si>
    <t>Claims Adjusters, Examiners, and Investigators</t>
  </si>
  <si>
    <t>Insurance Appraisers, Auto Damage</t>
  </si>
  <si>
    <t>Compliance Officers, Except Agriculture, Construction, Health and Safety, and Transportation</t>
  </si>
  <si>
    <t>Cost Estimators</t>
  </si>
  <si>
    <t>Employment, Recruitment, and Placement Specialists</t>
  </si>
  <si>
    <t>Farm Labor Contractors</t>
  </si>
  <si>
    <t>Labor Relations Specialists</t>
  </si>
  <si>
    <t>Management Analysts</t>
  </si>
  <si>
    <t>Meeting and Convention Planners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</si>
  <si>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</si>
  <si>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</si>
  <si>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</si>
  <si>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</si>
  <si>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</si>
  <si>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13-2021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</si>
  <si>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</si>
  <si>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</si>
  <si>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</si>
  <si>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</si>
  <si>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</si>
  <si>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</si>
  <si>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</si>
  <si>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Loan Counselors</t>
  </si>
  <si>
    <t>Loan Officers</t>
  </si>
  <si>
    <t>Tax Examiners, Collectors, and Revenue Agents</t>
  </si>
  <si>
    <t>Tax Preparers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</si>
  <si>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</si>
  <si>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</si>
  <si>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</si>
  <si>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</si>
  <si>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</si>
  <si>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</si>
  <si>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</si>
  <si>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</si>
  <si>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</si>
  <si>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</si>
  <si>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</si>
  <si>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</si>
  <si>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</si>
  <si>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</si>
  <si>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</si>
  <si>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</si>
  <si>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</si>
  <si>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</si>
  <si>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</si>
  <si>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</si>
  <si>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</si>
  <si>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</si>
  <si>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</si>
  <si>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</si>
  <si>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</si>
  <si>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</si>
  <si>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</si>
  <si>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Operations Research Analysts</t>
  </si>
  <si>
    <t>15-2091</t>
  </si>
  <si>
    <t>Mathematical Technicians</t>
  </si>
  <si>
    <t>Architects, Except Landscape and Naval</t>
  </si>
  <si>
    <t>Landscape Architects</t>
  </si>
  <si>
    <t>Cartographers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</si>
  <si>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</si>
  <si>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</si>
  <si>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</si>
  <si>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</si>
  <si>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</si>
  <si>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</si>
  <si>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</si>
  <si>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</si>
  <si>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</si>
  <si>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</si>
  <si>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</si>
  <si>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</si>
  <si>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</si>
  <si>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</si>
  <si>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</si>
  <si>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</si>
  <si>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</si>
  <si>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</si>
  <si>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</si>
  <si>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Electrical and Electronics Drafters</t>
  </si>
  <si>
    <t>Mechanical Drafters</t>
  </si>
  <si>
    <t>Aerospace Engineering and Operations Technicians</t>
  </si>
  <si>
    <t>Civil Engineering Technicians</t>
  </si>
  <si>
    <t>Electrical and Electronic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</si>
  <si>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</si>
  <si>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</si>
  <si>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</si>
  <si>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</si>
  <si>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</si>
  <si>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</si>
  <si>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Animal Scientists</t>
  </si>
  <si>
    <t>Food Scientists and Technologists</t>
  </si>
  <si>
    <t>Soil and Plant Scientists</t>
  </si>
  <si>
    <t>19-1020</t>
  </si>
  <si>
    <t>Biologists</t>
  </si>
  <si>
    <t>Biochemists and Biophysicists</t>
  </si>
  <si>
    <t>Zoologists and Wildlife Biologists</t>
  </si>
  <si>
    <t>Biological Scientists, All Other</t>
  </si>
  <si>
    <t>Conservation Scientists</t>
  </si>
  <si>
    <t>Medical Scientists, Except Epidemiologists</t>
  </si>
  <si>
    <t>Atmospheric and Space Scientists</t>
  </si>
  <si>
    <t>Materials Scientists</t>
  </si>
  <si>
    <t>Environmental Scientists and Specialists, Including Health</t>
  </si>
  <si>
    <t>Geoscientists, Except Hydrologists and Geographers</t>
  </si>
  <si>
    <t>Physical Scientists, All Other</t>
  </si>
  <si>
    <t>Survey Researchers</t>
  </si>
  <si>
    <t>19-3031</t>
  </si>
  <si>
    <t>Clinical, Counseling, and School Psychologists</t>
  </si>
  <si>
    <t>Industrial-Organizational Psychologists</t>
  </si>
  <si>
    <t>Psychologists, All Other</t>
  </si>
  <si>
    <t>Urban and Regional Planners</t>
  </si>
  <si>
    <t>Anthropologists and Archeologists</t>
  </si>
  <si>
    <t>Political Scientists</t>
  </si>
  <si>
    <t>Social Scientists and Related Workers, All Other</t>
  </si>
  <si>
    <t>19-4011</t>
  </si>
  <si>
    <t>Agricultural and Food Science Technicians</t>
  </si>
  <si>
    <t>Biological Technicians</t>
  </si>
  <si>
    <t>Chemical Technicians</t>
  </si>
  <si>
    <t>19-4041</t>
  </si>
  <si>
    <t>Geological and Petroleum Technicians</t>
  </si>
  <si>
    <t>Nuclear Technicians</t>
  </si>
  <si>
    <t>Social Science Research Assistants</t>
  </si>
  <si>
    <t>19-4091</t>
  </si>
  <si>
    <t>Environmental Science and Protection Technicians, Including Health</t>
  </si>
  <si>
    <t>Forensic Science Technicians</t>
  </si>
  <si>
    <t>19-4093</t>
  </si>
  <si>
    <t>Forest and Conservation Technicians</t>
  </si>
  <si>
    <t>Life, Physical, and Social Science Technicians, All Other</t>
  </si>
  <si>
    <t>21-1011</t>
  </si>
  <si>
    <t>Substance Abuse and Behavioral Disorder Counselors</t>
  </si>
  <si>
    <t>Educational, Vocational, and School Counselors</t>
  </si>
  <si>
    <t>Marriage and Family Therapists</t>
  </si>
  <si>
    <t>21-1014</t>
  </si>
  <si>
    <t>Mental Health Counselors</t>
  </si>
  <si>
    <t>Rehabilitation Counselors</t>
  </si>
  <si>
    <t>Child, Family, and School Social Workers</t>
  </si>
  <si>
    <t>Medical and Public Health Social Workers</t>
  </si>
  <si>
    <t>Mental Health and Substance Abuse Social Workers</t>
  </si>
  <si>
    <t>Health Educators</t>
  </si>
  <si>
    <t>Probation Officers and Correctional Treatment Specialists</t>
  </si>
  <si>
    <t>Social and Human Service Assistants</t>
  </si>
  <si>
    <t>Community Health Workers</t>
  </si>
  <si>
    <t>Directors, Religious Activities and Education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</si>
  <si>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</si>
  <si>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</si>
  <si>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</si>
  <si>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</si>
  <si>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</si>
  <si>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23-2091</t>
  </si>
  <si>
    <t>Court Reporters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</si>
  <si>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</si>
  <si>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</si>
  <si>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</si>
  <si>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</si>
  <si>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</si>
  <si>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</si>
  <si>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</si>
  <si>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</si>
  <si>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</si>
  <si>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</si>
  <si>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</si>
  <si>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</si>
  <si>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</si>
  <si>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</si>
  <si>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</si>
  <si>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</si>
  <si>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</si>
  <si>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</si>
  <si>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</si>
  <si>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</si>
  <si>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</si>
  <si>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</si>
  <si>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</si>
  <si>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</si>
  <si>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</si>
  <si>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</si>
  <si>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</si>
  <si>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</si>
  <si>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</si>
  <si>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</si>
  <si>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</si>
  <si>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</si>
  <si>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</si>
  <si>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25-1191</t>
  </si>
  <si>
    <t>Graduate Teaching Assistants</t>
  </si>
  <si>
    <t>Home Economics Teachers, Postsecondary</t>
  </si>
  <si>
    <t>Recreation and Fitness Studies Teachers, Postsecondary</t>
  </si>
  <si>
    <t>Vocational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</si>
  <si>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</si>
  <si>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</si>
  <si>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</si>
  <si>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Vocational Education</t>
  </si>
  <si>
    <t>Vocational Education Teachers, Middle School</t>
  </si>
  <si>
    <t>Secondary School Teachers, Except Special and Vocational Education</t>
  </si>
  <si>
    <t>Vocational Education Teachers, Secondary School</t>
  </si>
  <si>
    <t>Special Education Teachers, Preschool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</si>
  <si>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</si>
  <si>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</si>
  <si>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</si>
  <si>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</si>
  <si>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</si>
  <si>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Special Education Teachers, All Other</t>
  </si>
  <si>
    <t>Adult Literacy, Remedial Education, and GED Teachers and Instructors</t>
  </si>
  <si>
    <t>Self-Enrichment Education Teachers</t>
  </si>
  <si>
    <t>Teachers and Instructors, All Other</t>
  </si>
  <si>
    <t>Museum Technicians and Conservators</t>
  </si>
  <si>
    <t>25-4021</t>
  </si>
  <si>
    <t>Librarians</t>
  </si>
  <si>
    <t>Library Technicians</t>
  </si>
  <si>
    <t>25-9011</t>
  </si>
  <si>
    <t>Audio-Visual Collections Specialists</t>
  </si>
  <si>
    <t>Farm and Home Management Advisors</t>
  </si>
  <si>
    <t>Instructional Coordinators</t>
  </si>
  <si>
    <t>25-9041</t>
  </si>
  <si>
    <t>Teacher Assistants</t>
  </si>
  <si>
    <t>Art Directors</t>
  </si>
  <si>
    <t>Craft Artists</t>
  </si>
  <si>
    <t>Fine Artists, Including Painters, Sculptors, and Illustrators</t>
  </si>
  <si>
    <t>Multi-Media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</si>
  <si>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</si>
  <si>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</si>
  <si>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</si>
  <si>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</si>
  <si>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</si>
  <si>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</si>
  <si>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</si>
  <si>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Producers and Directors</t>
  </si>
  <si>
    <t>Athletes and Sports Competitors</t>
  </si>
  <si>
    <t>Coaches and Scouts</t>
  </si>
  <si>
    <t>Umpires, Referees, and Other Sports Officials</t>
  </si>
  <si>
    <t>Music Directors and Composers</t>
  </si>
  <si>
    <t>Musicians and Singers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</si>
  <si>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</si>
  <si>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</si>
  <si>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</si>
  <si>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</si>
  <si>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</si>
  <si>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</si>
  <si>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</si>
  <si>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Public Relations Specialists</t>
  </si>
  <si>
    <t>Technical Writers</t>
  </si>
  <si>
    <t>Writers and Authors</t>
  </si>
  <si>
    <t>Interpreters and Translators</t>
  </si>
  <si>
    <t>Audio and Video Equipment Technicians</t>
  </si>
  <si>
    <t>Broadcast Technicians</t>
  </si>
  <si>
    <t>27-4013</t>
  </si>
  <si>
    <t>Radio Operators</t>
  </si>
  <si>
    <t>Sound Engineering Technicians</t>
  </si>
  <si>
    <t>Camera Operators, Television, Video, and Motion Picture</t>
  </si>
  <si>
    <t>Film and Video Editors</t>
  </si>
  <si>
    <t>Dentists, General</t>
  </si>
  <si>
    <t>Oral and Maxillofacial Surgeons</t>
  </si>
  <si>
    <t>Dietitians and Nutritionists</t>
  </si>
  <si>
    <t>29-1061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</si>
  <si>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</si>
  <si>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</si>
  <si>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</si>
  <si>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</si>
  <si>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</si>
  <si>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</si>
  <si>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</si>
  <si>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</si>
  <si>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</si>
  <si>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29-1067</t>
  </si>
  <si>
    <t>Surgeons</t>
  </si>
  <si>
    <t>29-1069</t>
  </si>
  <si>
    <t>Physicians and Surgeons, All Other</t>
  </si>
  <si>
    <t>Physician Assistants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</si>
  <si>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</si>
  <si>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</si>
  <si>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</si>
  <si>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</si>
  <si>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</si>
  <si>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</si>
  <si>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</si>
  <si>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Registered Nurses</t>
  </si>
  <si>
    <t>Nurse Anesthetists</t>
  </si>
  <si>
    <t>Nurse Midwives</t>
  </si>
  <si>
    <t>Nurse Practitioners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</si>
  <si>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</si>
  <si>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</si>
  <si>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</si>
  <si>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</si>
  <si>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</si>
  <si>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</si>
  <si>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</si>
  <si>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</si>
  <si>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</si>
  <si>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</si>
  <si>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</si>
  <si>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</si>
  <si>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</si>
  <si>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29-2041</t>
  </si>
  <si>
    <t>Emergency Medical Technicians and Paramedics</t>
  </si>
  <si>
    <t>Dietetic Technicians</t>
  </si>
  <si>
    <t>Pharmacy Technicians</t>
  </si>
  <si>
    <t>Psychiatric Technicians</t>
  </si>
  <si>
    <t>29-2054</t>
  </si>
  <si>
    <t>Respiratory Therapy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</si>
  <si>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</si>
  <si>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</si>
  <si>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</si>
  <si>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</si>
  <si>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29-2071</t>
  </si>
  <si>
    <t>Medical Records and Health Information Technicians</t>
  </si>
  <si>
    <t>Opticians, Dispensing</t>
  </si>
  <si>
    <t>Orthotists and Prosthetists</t>
  </si>
  <si>
    <t>Hearing Aid Specialists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</si>
  <si>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</si>
  <si>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</si>
  <si>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</si>
  <si>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</si>
  <si>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</si>
  <si>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Athletic Trainers</t>
  </si>
  <si>
    <t>Genetic Counselors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</si>
  <si>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</si>
  <si>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</si>
  <si>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</si>
  <si>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</si>
  <si>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</si>
  <si>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</si>
  <si>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</si>
  <si>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</si>
  <si>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Occupational Therapist Assistants</t>
  </si>
  <si>
    <t>Occupational Therapist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</si>
  <si>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</si>
  <si>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</si>
  <si>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</si>
  <si>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</si>
  <si>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</si>
  <si>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</si>
  <si>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</si>
  <si>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</si>
  <si>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</si>
  <si>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Healthcare Support Workers, All Other</t>
  </si>
  <si>
    <t>First-Line Supervisors/Managers of Correctional Officers</t>
  </si>
  <si>
    <t>First-Line Supervisors/Managers of Police and Detectives</t>
  </si>
  <si>
    <t>First-Line Supervisors/Managers of Fire Fighting and Prevention Workers</t>
  </si>
  <si>
    <t>Fire Fighters</t>
  </si>
  <si>
    <t>Fire Inspectors and Investigators</t>
  </si>
  <si>
    <t>Forest Fire Inspectors and Prevention Specialists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</si>
  <si>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</si>
  <si>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</si>
  <si>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</si>
  <si>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</si>
  <si>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</si>
  <si>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</si>
  <si>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</si>
  <si>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</si>
  <si>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Gaming Surveillance Officers and Gaming Investigators</t>
  </si>
  <si>
    <t>Security Guards</t>
  </si>
  <si>
    <t>Crossing Guards</t>
  </si>
  <si>
    <t>Lifeguards, Ski Patrol, and Other Recreational Protective Service Workers</t>
  </si>
  <si>
    <t>Transportation Security Screeners</t>
  </si>
  <si>
    <t>Protective Service Workers, All Other</t>
  </si>
  <si>
    <t>Chefs and Head Cooks</t>
  </si>
  <si>
    <t>First-Line Supervisors/Managers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</si>
  <si>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</si>
  <si>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</si>
  <si>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</si>
  <si>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</si>
  <si>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</si>
  <si>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</si>
  <si>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</si>
  <si>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</si>
  <si>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</si>
  <si>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</si>
  <si>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</si>
  <si>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</si>
  <si>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</si>
  <si>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Hosts and Hostesses, Restaurant, Lounge, and Coffee Shop</t>
  </si>
  <si>
    <t>First-Line Supervisors/Managers of Housekeeping and Janitorial Workers</t>
  </si>
  <si>
    <t>First-Line Supervisors/Managers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</si>
  <si>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</si>
  <si>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</si>
  <si>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</si>
  <si>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</si>
  <si>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</si>
  <si>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</si>
  <si>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39-1011</t>
  </si>
  <si>
    <t>Gaming Supervisors</t>
  </si>
  <si>
    <t>39-1012</t>
  </si>
  <si>
    <t>Slot Key Persons</t>
  </si>
  <si>
    <t>39-1021</t>
  </si>
  <si>
    <t>First-Line Supervisors/Managers of Personal Service Workers</t>
  </si>
  <si>
    <t>Animal Trainers</t>
  </si>
  <si>
    <t>Nonfarm Animal Caretakers</t>
  </si>
  <si>
    <t>Gaming Dealers</t>
  </si>
  <si>
    <t>Gaming and Sports Book Writers and Runners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</si>
  <si>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</si>
  <si>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</si>
  <si>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</si>
  <si>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</si>
  <si>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</si>
  <si>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Funeral Attendants</t>
  </si>
  <si>
    <t>Morticians, Undertakers, and Funeral Directors</t>
  </si>
  <si>
    <t>Hairdressers, Hairstylists, and Cosmetologists</t>
  </si>
  <si>
    <t>Makeup Artists, Theatrical and Performance</t>
  </si>
  <si>
    <t>Manicurists and Pedicurists</t>
  </si>
  <si>
    <t>Skin Care Specialists</t>
  </si>
  <si>
    <t>Baggage Porters and Bellhops</t>
  </si>
  <si>
    <t>39-7011</t>
  </si>
  <si>
    <t>Tour Guides and Escorts</t>
  </si>
  <si>
    <t>39-7012</t>
  </si>
  <si>
    <t>Travel Guides</t>
  </si>
  <si>
    <t>Child Care Workers</t>
  </si>
  <si>
    <t>39-9021</t>
  </si>
  <si>
    <t>Personal and Home Care Aides</t>
  </si>
  <si>
    <t>Fitness Trainers and Aerobics Instructors</t>
  </si>
  <si>
    <t>Recreation Workers</t>
  </si>
  <si>
    <t>Residential Advisors</t>
  </si>
  <si>
    <t>First-Line Supervisors/Managers of Retail Sales Workers</t>
  </si>
  <si>
    <t>First-Line Supervisors/Managers of Non-Retail Sales Workers</t>
  </si>
  <si>
    <t>Gaming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</si>
  <si>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</si>
  <si>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</si>
  <si>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</si>
  <si>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</si>
  <si>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</si>
  <si>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</si>
  <si>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</si>
  <si>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41-3099</t>
  </si>
  <si>
    <t>Sales Representatives, Services, All Other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</si>
  <si>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</si>
  <si>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</si>
  <si>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</si>
  <si>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Real Estate Brokers</t>
  </si>
  <si>
    <t>Real Estate Sales Agents</t>
  </si>
  <si>
    <t>Sales Engineers</t>
  </si>
  <si>
    <t>Door-To-Door Sales Workers, News and Street Vendors, and Related Workers</t>
  </si>
  <si>
    <t>First-Line Supervisors/Managers of Office and Administrative Support Workers</t>
  </si>
  <si>
    <t>Switchboard Operators, Including Answering Service</t>
  </si>
  <si>
    <t>Telephone Operators</t>
  </si>
  <si>
    <t>Bill and Account Collectors</t>
  </si>
  <si>
    <t>Billing and Posting Clerks and Machine Operators</t>
  </si>
  <si>
    <t>Bookkeeping, Accounting, and Auditing Clerks</t>
  </si>
  <si>
    <t>Gaming Cage Workers</t>
  </si>
  <si>
    <t>Payroll and Timekeeping Clerks</t>
  </si>
  <si>
    <t>Procurement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</si>
  <si>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</si>
  <si>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</si>
  <si>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</si>
  <si>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</si>
  <si>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</si>
  <si>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</si>
  <si>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</si>
  <si>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</si>
  <si>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</si>
  <si>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</si>
  <si>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</si>
  <si>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</si>
  <si>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</si>
  <si>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</si>
  <si>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</si>
  <si>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</si>
  <si>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</si>
  <si>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</si>
  <si>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Police, Fire, and Ambulance Dispatchers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</si>
  <si>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</si>
  <si>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</si>
  <si>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</si>
  <si>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</si>
  <si>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</si>
  <si>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</si>
  <si>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</si>
  <si>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43-5081</t>
  </si>
  <si>
    <t>Stock Clerks and Order Fillers</t>
  </si>
  <si>
    <t>Weighers, Measurers, Checkers, and Samplers, Recordkeeping</t>
  </si>
  <si>
    <t>Executive Secretaries and Administrative Assistants</t>
  </si>
  <si>
    <t>Legal Secretaries</t>
  </si>
  <si>
    <t>Medical Secretaries</t>
  </si>
  <si>
    <t>Secretaries, Except Legal, Medical, and Executive</t>
  </si>
  <si>
    <t>43-9011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</si>
  <si>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</si>
  <si>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</si>
  <si>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</si>
  <si>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</si>
  <si>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</si>
  <si>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</si>
  <si>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</si>
  <si>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</si>
  <si>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</si>
  <si>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</si>
  <si>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Supervisors/Managers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</si>
  <si>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</si>
  <si>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</si>
  <si>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</si>
  <si>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</si>
  <si>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</si>
  <si>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 and Ranch Animals</t>
  </si>
  <si>
    <t>45-3011</t>
  </si>
  <si>
    <t>Fishers and Related Fishing Workers</t>
  </si>
  <si>
    <t>45-3021</t>
  </si>
  <si>
    <t>Hunters and Trappers</t>
  </si>
  <si>
    <t>Forest and Conservation Workers</t>
  </si>
  <si>
    <t>Logging Equipment Operators</t>
  </si>
  <si>
    <t>Log Graders and Scalers</t>
  </si>
  <si>
    <t>First-Line Supervisors/Managers of Construction Trades and Extraction Workers</t>
  </si>
  <si>
    <t>Brickmasons and Blockmasons</t>
  </si>
  <si>
    <t>Carpet Installers</t>
  </si>
  <si>
    <t>Floor Layers, Except Carpet, Wood, and Hard Tiles</t>
  </si>
  <si>
    <t>Floor Sanders and Finishers</t>
  </si>
  <si>
    <t>Tile and Marble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</si>
  <si>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</si>
  <si>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</si>
  <si>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</si>
  <si>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</si>
  <si>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</si>
  <si>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</si>
  <si>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and Ceiling Tile Installers</t>
  </si>
  <si>
    <t>Insulation Workers, Floor, Ceiling, and Wall</t>
  </si>
  <si>
    <t>Insulation Workers, Mechanical</t>
  </si>
  <si>
    <t>Painters, Construction and Maintenance</t>
  </si>
  <si>
    <t>Plumbers, Pipefitters, and Steamfitters</t>
  </si>
  <si>
    <t>Plasterers and Stucco Masons</t>
  </si>
  <si>
    <t>Reinforcing Iron and Rebar Workers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</si>
  <si>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</si>
  <si>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</si>
  <si>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</si>
  <si>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</si>
  <si>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</si>
  <si>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</si>
  <si>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</si>
  <si>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</si>
  <si>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</si>
  <si>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</si>
  <si>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</si>
  <si>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</si>
  <si>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</si>
  <si>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</si>
  <si>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</si>
  <si>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</si>
  <si>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</si>
  <si>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</si>
  <si>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</si>
  <si>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</si>
  <si>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Derrick Operators, Oil and Gas</t>
  </si>
  <si>
    <t>Rotary Drill Operators, Oil and Gas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</si>
  <si>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</si>
  <si>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</si>
  <si>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</si>
  <si>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</si>
  <si>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</si>
  <si>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Continuous Mining Machine Operators</t>
  </si>
  <si>
    <t>47-5042</t>
  </si>
  <si>
    <t>Mine Cutting and Channeling Machine Operators</t>
  </si>
  <si>
    <t>Rock Splitters, Quarry</t>
  </si>
  <si>
    <t>47-5061</t>
  </si>
  <si>
    <t>Roof Bolters, Mining</t>
  </si>
  <si>
    <t>Roustabouts, Oil and Gas</t>
  </si>
  <si>
    <t>Helpers--Extraction Workers</t>
  </si>
  <si>
    <t>First-Line Supervisors/Managers of Mechanics, Installers, and Repairers</t>
  </si>
  <si>
    <t>Computer, Automated Teller, and Office Machine Repairers</t>
  </si>
  <si>
    <t>Radio Mechanics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</si>
  <si>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</si>
  <si>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</si>
  <si>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</si>
  <si>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</si>
  <si>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</si>
  <si>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</si>
  <si>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</si>
  <si>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</si>
  <si>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</si>
  <si>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</si>
  <si>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</si>
  <si>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</si>
  <si>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</si>
  <si>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</si>
  <si>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</t>
  </si>
  <si>
    <t>Mobile Heavy Equipment Mechanics, Except Engines</t>
  </si>
  <si>
    <t>Rail Car Repairers</t>
  </si>
  <si>
    <t>Motorboat Mechanics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</si>
  <si>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</si>
  <si>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</si>
  <si>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</si>
  <si>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</si>
  <si>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</si>
  <si>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</si>
  <si>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</si>
  <si>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</si>
  <si>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</si>
  <si>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</si>
  <si>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</si>
  <si>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</si>
  <si>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</si>
  <si>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</si>
  <si>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</si>
  <si>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</si>
  <si>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</si>
  <si>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</si>
  <si>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</si>
  <si>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</si>
  <si>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</si>
  <si>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</si>
  <si>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49-9093</t>
  </si>
  <si>
    <t>Fabric Menders, Except Garment</t>
  </si>
  <si>
    <t>Locksmiths and Safe Repairers</t>
  </si>
  <si>
    <t>Manufactured Building and Mobile Home Installers</t>
  </si>
  <si>
    <t>Signal and Track Switch Repairers</t>
  </si>
  <si>
    <t>Helpers--Installation, Maintenance, and Repair Workers</t>
  </si>
  <si>
    <t>Installation, Maintenance, and Repair Workers, All Other</t>
  </si>
  <si>
    <t>First-Line Supervisors/Managers of Production and Operating Workers</t>
  </si>
  <si>
    <t>Aircraft Structure, Surfaces, Rigging, and Systems Assemblers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</si>
  <si>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</si>
  <si>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</si>
  <si>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</si>
  <si>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</si>
  <si>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</si>
  <si>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Engine and Other Machine Assemblers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</si>
  <si>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</si>
  <si>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</si>
  <si>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</si>
  <si>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</si>
  <si>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</si>
  <si>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</si>
  <si>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Assemblers, Adjusters, and Calibrators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</si>
  <si>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</si>
  <si>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</si>
  <si>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</si>
  <si>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</si>
  <si>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</si>
  <si>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</si>
  <si>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51-4011</t>
  </si>
  <si>
    <t>Computer-Controlled Machine Tool Operators, Metal and Plastic</t>
  </si>
  <si>
    <t>51-4012</t>
  </si>
  <si>
    <t>Numerical Tool and Process Control Programmers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</si>
  <si>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</si>
  <si>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</si>
  <si>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</si>
  <si>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</si>
  <si>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</si>
  <si>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</si>
  <si>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</si>
  <si>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</si>
  <si>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</si>
  <si>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</si>
  <si>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</si>
  <si>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</si>
  <si>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</si>
  <si>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</si>
  <si>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</si>
  <si>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</si>
  <si>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</si>
  <si>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</si>
  <si>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</si>
  <si>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Lay-Out Workers, Metal and Plastic</t>
  </si>
  <si>
    <t>Plating and Coating Machine Setters, Operators, and Tenders,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</si>
  <si>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</si>
  <si>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</si>
  <si>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</si>
  <si>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</si>
  <si>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</si>
  <si>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</si>
  <si>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</si>
  <si>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</si>
  <si>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</si>
  <si>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</si>
  <si>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</si>
  <si>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</si>
  <si>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</si>
  <si>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</si>
  <si>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</si>
  <si>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</si>
  <si>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</si>
  <si>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</si>
  <si>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</si>
  <si>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</si>
  <si>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</si>
  <si>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</si>
  <si>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</si>
  <si>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</si>
  <si>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</si>
  <si>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</si>
  <si>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</si>
  <si>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Liquid Waste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</si>
  <si>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</si>
  <si>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</si>
  <si>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</si>
  <si>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</si>
  <si>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</si>
  <si>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</si>
  <si>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</si>
  <si>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</si>
  <si>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</si>
  <si>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</si>
  <si>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</si>
  <si>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</si>
  <si>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</si>
  <si>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</si>
  <si>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</si>
  <si>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</si>
  <si>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</si>
  <si>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</si>
  <si>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</si>
  <si>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</si>
  <si>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</si>
  <si>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</si>
  <si>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</si>
  <si>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Painting, Coating, and Decorating Workers</t>
  </si>
  <si>
    <t>Semiconductor Processors</t>
  </si>
  <si>
    <t>Photographic Process Workers and Processing Machine Operators</t>
  </si>
  <si>
    <t>Cementing and Gluing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</si>
  <si>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</si>
  <si>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</si>
  <si>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</si>
  <si>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</si>
  <si>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</si>
  <si>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</si>
  <si>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</si>
  <si>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</si>
  <si>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53-1011</t>
  </si>
  <si>
    <t>Aircraft Cargo Handling Supervisors</t>
  </si>
  <si>
    <t>53-1021</t>
  </si>
  <si>
    <t>First-Line Supervisors/Managers of Helpers, Laborers, and Material Movers, Hand</t>
  </si>
  <si>
    <t>53-1031</t>
  </si>
  <si>
    <t>First-Line Supervisors/Managers of Transportation and Material-Moving Machine and Vehicle Operators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</si>
  <si>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</si>
  <si>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</si>
  <si>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</si>
  <si>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</si>
  <si>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</si>
  <si>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</si>
  <si>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53-3021</t>
  </si>
  <si>
    <t>Bus Drivers, Transit and Intercity</t>
  </si>
  <si>
    <t>53-3022</t>
  </si>
  <si>
    <t>Bus Drivers, School</t>
  </si>
  <si>
    <t>Driver/Sales Workers</t>
  </si>
  <si>
    <t>Truck Drivers, Heavy and Tractor-Trailer</t>
  </si>
  <si>
    <t>Truck Drivers, Light or Delivery Services</t>
  </si>
  <si>
    <t>53-3041</t>
  </si>
  <si>
    <t>Taxi Drivers and Chauffeurs</t>
  </si>
  <si>
    <t>Locomotive Engineers</t>
  </si>
  <si>
    <t>53-4012</t>
  </si>
  <si>
    <t>Locomotive Firers</t>
  </si>
  <si>
    <t>Rail Yard Engineers, Dinkey Operators, and Hostlers</t>
  </si>
  <si>
    <t>53-4021</t>
  </si>
  <si>
    <t>Railroad Brake, Signal, and Switch Operators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</si>
  <si>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</si>
  <si>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</si>
  <si>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</si>
  <si>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</si>
  <si>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</si>
  <si>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</si>
  <si>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</si>
  <si>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Lot Attendants</t>
  </si>
  <si>
    <t>Service Station Attendants</t>
  </si>
  <si>
    <t>Traffic Technicians</t>
  </si>
  <si>
    <t>Transportation Inspectors</t>
  </si>
  <si>
    <t>Transportation Attendants, Except Flight Attendants</t>
  </si>
  <si>
    <t>Conveyor Operators and Tenders</t>
  </si>
  <si>
    <t>Crane and Tower Operators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</si>
  <si>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</si>
  <si>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</si>
  <si>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</si>
  <si>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</si>
  <si>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</si>
  <si>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</si>
  <si>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</si>
  <si>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</si>
  <si>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</si>
  <si>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</si>
  <si>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</si>
  <si>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</si>
  <si>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</si>
  <si>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</si>
  <si>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</si>
  <si>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53-7111</t>
  </si>
  <si>
    <t>Shuttle Car Operators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</si>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</sst>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000"/>
  </numFmts>
  <fonts count="8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Aptos Narrow"/>
      <scheme val="minor"/>
    </font>
    <font>
      <sz val="10"/>
      <color rgb="FF000000"/>
      <name val="Arial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5" fontId="4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2" xfId="0" applyFont="1" applyBorder="1"/>
    <xf numFmtId="0" fontId="2" fillId="0" borderId="0" xfId="0" applyFont="1" applyBorder="1"/>
    <xf numFmtId="0" fontId="0" fillId="0" borderId="0" xfId="0" pivotButton="1"/>
    <xf numFmtId="0" fontId="0" fillId="0" borderId="0" xfId="0" applyNumberFormat="1"/>
    <xf numFmtId="0" fontId="6" fillId="0" borderId="0" xfId="0" applyFont="1" applyBorder="1"/>
    <xf numFmtId="164" fontId="0" fillId="0" borderId="0" xfId="0" applyNumberFormat="1"/>
    <xf numFmtId="0" fontId="0" fillId="0" borderId="0" xfId="0" applyFont="1"/>
    <xf numFmtId="0" fontId="0" fillId="0" borderId="0" xfId="0" applyNumberFormat="1" applyFont="1"/>
    <xf numFmtId="0" fontId="7" fillId="0" borderId="4" xfId="0" applyFont="1" applyBorder="1"/>
    <xf numFmtId="0" fontId="7" fillId="0" borderId="4" xfId="0" applyNumberFormat="1" applyFont="1" applyBorder="1"/>
    <xf numFmtId="0" fontId="7" fillId="0" borderId="0" xfId="0" applyFont="1"/>
    <xf numFmtId="164" fontId="0" fillId="0" borderId="0" xfId="0" applyNumberFormat="1" applyFon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AIOE by Education Requirement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'Education Analysis'!$F$4:$F$11</c:f>
              <c:strCache>
                <c:ptCount val="8"/>
                <c:pt idx="0">
                  <c:v>Master's </c:v>
                </c:pt>
                <c:pt idx="1">
                  <c:v>PhD/Prof</c:v>
                </c:pt>
                <c:pt idx="2">
                  <c:v>Bachelor's </c:v>
                </c:pt>
                <c:pt idx="3">
                  <c:v>Some college</c:v>
                </c:pt>
                <c:pt idx="4">
                  <c:v>Associate's </c:v>
                </c:pt>
                <c:pt idx="5">
                  <c:v>Postsecondary</c:v>
                </c:pt>
                <c:pt idx="6">
                  <c:v>HS diploma </c:v>
                </c:pt>
                <c:pt idx="7">
                  <c:v>No formal</c:v>
                </c:pt>
              </c:strCache>
            </c:strRef>
          </c:cat>
          <c:val>
            <c:numRef>
              <c:f>'Education Analysis'!$G$4:$G$11</c:f>
              <c:numCache>
                <c:formatCode>General</c:formatCode>
                <c:ptCount val="8"/>
                <c:pt idx="0">
                  <c:v>0.76915410249999983</c:v>
                </c:pt>
                <c:pt idx="1">
                  <c:v>0.73184606164383548</c:v>
                </c:pt>
                <c:pt idx="2">
                  <c:v>0.72416889325842648</c:v>
                </c:pt>
                <c:pt idx="3">
                  <c:v>0.24170055714285713</c:v>
                </c:pt>
                <c:pt idx="4">
                  <c:v>0.11000383750000003</c:v>
                </c:pt>
                <c:pt idx="5">
                  <c:v>-0.34911961960784321</c:v>
                </c:pt>
                <c:pt idx="6">
                  <c:v>-0.36827606656441703</c:v>
                </c:pt>
                <c:pt idx="7">
                  <c:v>-0.89510786788990815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E-4280-929C-71056CF58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274696"/>
        <c:axId val="885857800"/>
      </c:barChart>
      <c:catAx>
        <c:axId val="660274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57800"/>
        <c:crosses val="autoZero"/>
        <c:auto val="1"/>
        <c:lblAlgn val="ctr"/>
        <c:lblOffset val="100"/>
        <c:noMultiLvlLbl val="0"/>
      </c:catAx>
      <c:valAx>
        <c:axId val="885857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7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'Wage Analysis'!$B$1</c:f>
              <c:strCache>
                <c:ptCount val="1"/>
                <c:pt idx="0">
                  <c:v>Count of Occupations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'Wage Analysis'!$A$2:$A$5</c:f>
              <c:strCache>
                <c:ptCount val="4"/>
                <c:pt idx="0">
                  <c:v>Under 45K</c:v>
                </c:pt>
                <c:pt idx="1">
                  <c:v>45K - 75K</c:v>
                </c:pt>
                <c:pt idx="2">
                  <c:v>75K - 100K</c:v>
                </c:pt>
                <c:pt idx="3">
                  <c:v>Over 100K</c:v>
                </c:pt>
              </c:strCache>
            </c:strRef>
          </c:cat>
          <c:val>
            <c:numRef>
              <c:f>'Wage Analysis'!$B$2:$B$5</c:f>
              <c:numCache>
                <c:formatCode>General</c:formatCode>
                <c:ptCount val="4"/>
                <c:pt idx="0">
                  <c:v>184</c:v>
                </c:pt>
                <c:pt idx="1">
                  <c:v>389</c:v>
                </c:pt>
                <c:pt idx="2">
                  <c:v>126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3-4B7B-89BD-ADDF0B52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53415"/>
        <c:axId val="17555463"/>
      </c:barChart>
      <c:lineChart>
        <c:grouping val="standard"/>
        <c:varyColors val="0"/>
        <c:ser>
          <c:idx val="1"/>
          <c:order val="1"/>
          <c:tx>
            <c:strRef>
              <c:f>'Wage Analysis'!$C$1</c:f>
              <c:strCache>
                <c:ptCount val="1"/>
                <c:pt idx="0">
                  <c:v>Avg. AIOE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'Wage Analysis'!$A$2:$A$5</c:f>
              <c:strCache>
                <c:ptCount val="4"/>
                <c:pt idx="0">
                  <c:v>Under 45K</c:v>
                </c:pt>
                <c:pt idx="1">
                  <c:v>45K - 75K</c:v>
                </c:pt>
                <c:pt idx="2">
                  <c:v>75K - 100K</c:v>
                </c:pt>
                <c:pt idx="3">
                  <c:v>Over 100K</c:v>
                </c:pt>
              </c:strCache>
            </c:strRef>
          </c:cat>
          <c:val>
            <c:numRef>
              <c:f>'Wage Analysis'!$C$2:$C$5</c:f>
              <c:numCache>
                <c:formatCode>General</c:formatCode>
                <c:ptCount val="4"/>
                <c:pt idx="0">
                  <c:v>-0.46181590434782616</c:v>
                </c:pt>
                <c:pt idx="1">
                  <c:v>-0.21607647737789198</c:v>
                </c:pt>
                <c:pt idx="2">
                  <c:v>0.59035070873015827</c:v>
                </c:pt>
                <c:pt idx="3">
                  <c:v>0.74570020818181826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C3-4B7B-89BD-ADDF0B52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3975"/>
        <c:axId val="20876807"/>
      </c:lineChart>
      <c:catAx>
        <c:axId val="1755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5463"/>
        <c:crosses val="autoZero"/>
        <c:auto val="1"/>
        <c:lblAlgn val="ctr"/>
        <c:lblOffset val="100"/>
        <c:noMultiLvlLbl val="0"/>
      </c:catAx>
      <c:valAx>
        <c:axId val="1755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415"/>
        <c:crosses val="autoZero"/>
        <c:crossBetween val="between"/>
      </c:valAx>
      <c:valAx>
        <c:axId val="20876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975"/>
        <c:crosses val="max"/>
        <c:crossBetween val="between"/>
      </c:valAx>
      <c:catAx>
        <c:axId val="20883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76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AIOE and Projected Job Growth by Wage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'Wage Analysis'!$H$1</c:f>
              <c:strCache>
                <c:ptCount val="1"/>
                <c:pt idx="0">
                  <c:v>Avg AIOE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'Wage Analysis'!$G$2:$G$5</c:f>
              <c:strCache>
                <c:ptCount val="4"/>
                <c:pt idx="0">
                  <c:v>Under 45K</c:v>
                </c:pt>
                <c:pt idx="1">
                  <c:v>45K-75K</c:v>
                </c:pt>
                <c:pt idx="2">
                  <c:v>75K-100K</c:v>
                </c:pt>
                <c:pt idx="3">
                  <c:v>Over 100K</c:v>
                </c:pt>
              </c:strCache>
            </c:strRef>
          </c:cat>
          <c:val>
            <c:numRef>
              <c:f>'Wage Analysis'!$H$2:$H$5</c:f>
              <c:numCache>
                <c:formatCode>0.0000</c:formatCode>
                <c:ptCount val="4"/>
                <c:pt idx="0">
                  <c:v>-0.46182000000000001</c:v>
                </c:pt>
                <c:pt idx="1">
                  <c:v>-0.21607999999999999</c:v>
                </c:pt>
                <c:pt idx="2">
                  <c:v>0.59035099999999996</c:v>
                </c:pt>
                <c:pt idx="3">
                  <c:v>0.74570000000000003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E-4A6C-B40A-37F2052BB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499784"/>
        <c:axId val="578539528"/>
      </c:barChart>
      <c:lineChart>
        <c:grouping val="standard"/>
        <c:varyColors val="0"/>
        <c:ser>
          <c:idx val="1"/>
          <c:order val="1"/>
          <c:tx>
            <c:strRef>
              <c:f>'Wage Analysis'!$I$1</c:f>
              <c:strCache>
                <c:ptCount val="1"/>
                <c:pt idx="0">
                  <c:v>Avg 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'Wage Analysis'!$G$2:$G$5</c:f>
              <c:strCache>
                <c:ptCount val="4"/>
                <c:pt idx="0">
                  <c:v>Under 45K</c:v>
                </c:pt>
                <c:pt idx="1">
                  <c:v>45K-75K</c:v>
                </c:pt>
                <c:pt idx="2">
                  <c:v>75K-100K</c:v>
                </c:pt>
                <c:pt idx="3">
                  <c:v>Over 100K</c:v>
                </c:pt>
              </c:strCache>
            </c:strRef>
          </c:cat>
          <c:val>
            <c:numRef>
              <c:f>'Wage Analysis'!$I$2:$I$5</c:f>
              <c:numCache>
                <c:formatCode>0.0000</c:formatCode>
                <c:ptCount val="4"/>
                <c:pt idx="0">
                  <c:v>-0.25163000000000002</c:v>
                </c:pt>
                <c:pt idx="1">
                  <c:v>0.88509000000000004</c:v>
                </c:pt>
                <c:pt idx="2">
                  <c:v>3.4341270000000002</c:v>
                </c:pt>
                <c:pt idx="3">
                  <c:v>5.4203010000000003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DE-4A6C-B40A-37F2052BB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499784"/>
        <c:axId val="578539528"/>
      </c:lineChart>
      <c:catAx>
        <c:axId val="495499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39528"/>
        <c:crosses val="autoZero"/>
        <c:auto val="1"/>
        <c:lblAlgn val="ctr"/>
        <c:lblOffset val="100"/>
        <c:noMultiLvlLbl val="0"/>
      </c:catAx>
      <c:valAx>
        <c:axId val="57853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99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AI Occupational Exposure by SOC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AIOE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AIOE by SOC Category'!$F$2:$F$23</c:f>
              <c:strCache>
                <c:ptCount val="22"/>
                <c:pt idx="0">
                  <c:v>23</c:v>
                </c:pt>
                <c:pt idx="1">
                  <c:v>13</c:v>
                </c:pt>
                <c:pt idx="2">
                  <c:v>25</c:v>
                </c:pt>
                <c:pt idx="3">
                  <c:v>11</c:v>
                </c:pt>
                <c:pt idx="4">
                  <c:v>17</c:v>
                </c:pt>
                <c:pt idx="5">
                  <c:v>19</c:v>
                </c:pt>
                <c:pt idx="6">
                  <c:v>43</c:v>
                </c:pt>
                <c:pt idx="7">
                  <c:v>21</c:v>
                </c:pt>
                <c:pt idx="8">
                  <c:v>41</c:v>
                </c:pt>
                <c:pt idx="9">
                  <c:v>15</c:v>
                </c:pt>
                <c:pt idx="10">
                  <c:v>27</c:v>
                </c:pt>
                <c:pt idx="11">
                  <c:v>29</c:v>
                </c:pt>
                <c:pt idx="12">
                  <c:v>31</c:v>
                </c:pt>
                <c:pt idx="13">
                  <c:v>33</c:v>
                </c:pt>
                <c:pt idx="14">
                  <c:v>39</c:v>
                </c:pt>
                <c:pt idx="15">
                  <c:v>53</c:v>
                </c:pt>
                <c:pt idx="16">
                  <c:v>35</c:v>
                </c:pt>
                <c:pt idx="17">
                  <c:v>51</c:v>
                </c:pt>
                <c:pt idx="18">
                  <c:v>45</c:v>
                </c:pt>
                <c:pt idx="19">
                  <c:v>49</c:v>
                </c:pt>
                <c:pt idx="20">
                  <c:v>37</c:v>
                </c:pt>
                <c:pt idx="21">
                  <c:v>47</c:v>
                </c:pt>
              </c:strCache>
            </c:strRef>
          </c:cat>
          <c:val>
            <c:numRef>
              <c:f>'Avg AIOE by SOC Category'!$G$2:$G$23</c:f>
              <c:numCache>
                <c:formatCode>General</c:formatCode>
                <c:ptCount val="22"/>
                <c:pt idx="0">
                  <c:v>1.2083207499999999</c:v>
                </c:pt>
                <c:pt idx="1">
                  <c:v>1.0483999750000004</c:v>
                </c:pt>
                <c:pt idx="2">
                  <c:v>0.84794969374999996</c:v>
                </c:pt>
                <c:pt idx="3">
                  <c:v>0.77184447368421061</c:v>
                </c:pt>
                <c:pt idx="4">
                  <c:v>0.76335121111111093</c:v>
                </c:pt>
                <c:pt idx="5">
                  <c:v>0.70422782916666671</c:v>
                </c:pt>
                <c:pt idx="6">
                  <c:v>0.62276220000000027</c:v>
                </c:pt>
                <c:pt idx="7">
                  <c:v>0.58164398823529417</c:v>
                </c:pt>
                <c:pt idx="8">
                  <c:v>0.5490306045454546</c:v>
                </c:pt>
                <c:pt idx="9">
                  <c:v>0.27483509523809524</c:v>
                </c:pt>
                <c:pt idx="10">
                  <c:v>0.13875207560975611</c:v>
                </c:pt>
                <c:pt idx="11">
                  <c:v>5.6833938028169016E-2</c:v>
                </c:pt>
                <c:pt idx="12">
                  <c:v>-0.29401576470588237</c:v>
                </c:pt>
                <c:pt idx="13">
                  <c:v>-0.31416232916666659</c:v>
                </c:pt>
                <c:pt idx="14">
                  <c:v>-0.32429780000000002</c:v>
                </c:pt>
                <c:pt idx="15">
                  <c:v>-0.55919108599999989</c:v>
                </c:pt>
                <c:pt idx="16">
                  <c:v>-0.66095134705882352</c:v>
                </c:pt>
                <c:pt idx="17">
                  <c:v>-0.74760732761904747</c:v>
                </c:pt>
                <c:pt idx="18">
                  <c:v>-0.77993136428571419</c:v>
                </c:pt>
                <c:pt idx="19">
                  <c:v>-0.84940682941176482</c:v>
                </c:pt>
                <c:pt idx="20">
                  <c:v>-0.92188167999999993</c:v>
                </c:pt>
                <c:pt idx="21">
                  <c:v>-1.1747693416666665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F-4919-880E-540C80C90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968071"/>
        <c:axId val="1786970119"/>
      </c:barChart>
      <c:catAx>
        <c:axId val="1786968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Code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70119"/>
        <c:crosses val="autoZero"/>
        <c:auto val="1"/>
        <c:lblAlgn val="ctr"/>
        <c:lblOffset val="100"/>
        <c:noMultiLvlLbl val="0"/>
      </c:catAx>
      <c:valAx>
        <c:axId val="178697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AIOE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6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Employment Growth (2024  – 34) by SOC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AIOE by SOC Category'!$F$27:$F$48</c:f>
              <c:strCache>
                <c:ptCount val="22"/>
                <c:pt idx="0">
                  <c:v>23</c:v>
                </c:pt>
                <c:pt idx="1">
                  <c:v>13</c:v>
                </c:pt>
                <c:pt idx="2">
                  <c:v>25</c:v>
                </c:pt>
                <c:pt idx="3">
                  <c:v>11</c:v>
                </c:pt>
                <c:pt idx="4">
                  <c:v>17</c:v>
                </c:pt>
                <c:pt idx="5">
                  <c:v>19</c:v>
                </c:pt>
                <c:pt idx="6">
                  <c:v>43</c:v>
                </c:pt>
                <c:pt idx="7">
                  <c:v>21</c:v>
                </c:pt>
                <c:pt idx="8">
                  <c:v>41</c:v>
                </c:pt>
                <c:pt idx="9">
                  <c:v>15</c:v>
                </c:pt>
                <c:pt idx="10">
                  <c:v>27</c:v>
                </c:pt>
                <c:pt idx="11">
                  <c:v>29</c:v>
                </c:pt>
                <c:pt idx="12">
                  <c:v>31</c:v>
                </c:pt>
                <c:pt idx="13">
                  <c:v>33</c:v>
                </c:pt>
                <c:pt idx="14">
                  <c:v>39</c:v>
                </c:pt>
                <c:pt idx="15">
                  <c:v>53</c:v>
                </c:pt>
                <c:pt idx="16">
                  <c:v>35</c:v>
                </c:pt>
                <c:pt idx="17">
                  <c:v>51</c:v>
                </c:pt>
                <c:pt idx="18">
                  <c:v>45</c:v>
                </c:pt>
                <c:pt idx="19">
                  <c:v>49</c:v>
                </c:pt>
                <c:pt idx="20">
                  <c:v>37</c:v>
                </c:pt>
                <c:pt idx="21">
                  <c:v>47</c:v>
                </c:pt>
              </c:strCache>
            </c:strRef>
          </c:cat>
          <c:val>
            <c:numRef>
              <c:f>'Avg AIOE by SOC Category'!$G$27:$G$48</c:f>
              <c:numCache>
                <c:formatCode>#,##0.0</c:formatCode>
                <c:ptCount val="22"/>
                <c:pt idx="0">
                  <c:v>1.7125000000000001</c:v>
                </c:pt>
                <c:pt idx="1">
                  <c:v>4.1124999999999989</c:v>
                </c:pt>
                <c:pt idx="2">
                  <c:v>1.9124999999999999</c:v>
                </c:pt>
                <c:pt idx="3">
                  <c:v>4.5394736842105265</c:v>
                </c:pt>
                <c:pt idx="4">
                  <c:v>3.2555555555555555</c:v>
                </c:pt>
                <c:pt idx="5">
                  <c:v>3.3833333333333342</c:v>
                </c:pt>
                <c:pt idx="6">
                  <c:v>-6.3962962962962955</c:v>
                </c:pt>
                <c:pt idx="7">
                  <c:v>6.1588235294117641</c:v>
                </c:pt>
                <c:pt idx="8">
                  <c:v>-1.1136363636363638</c:v>
                </c:pt>
                <c:pt idx="9">
                  <c:v>9.6095238095238091</c:v>
                </c:pt>
                <c:pt idx="10">
                  <c:v>1.7073170731707317</c:v>
                </c:pt>
                <c:pt idx="11">
                  <c:v>7.1154929577464818</c:v>
                </c:pt>
                <c:pt idx="12">
                  <c:v>7.4</c:v>
                </c:pt>
                <c:pt idx="13">
                  <c:v>1.3041666666666665</c:v>
                </c:pt>
                <c:pt idx="14">
                  <c:v>3.7999999999999994</c:v>
                </c:pt>
                <c:pt idx="15">
                  <c:v>2.3179999999999996</c:v>
                </c:pt>
                <c:pt idx="16">
                  <c:v>2.5764705882352938</c:v>
                </c:pt>
                <c:pt idx="17">
                  <c:v>-4.990476190476195</c:v>
                </c:pt>
                <c:pt idx="18">
                  <c:v>-1.4785714285714289</c:v>
                </c:pt>
                <c:pt idx="19">
                  <c:v>3.6549019607843136</c:v>
                </c:pt>
                <c:pt idx="20">
                  <c:v>2.77</c:v>
                </c:pt>
                <c:pt idx="21">
                  <c:v>1.8699999999999999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4-497A-A0BF-3B039153C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228935"/>
        <c:axId val="1791584775"/>
      </c:barChart>
      <c:catAx>
        <c:axId val="1791228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Code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84775"/>
        <c:crosses val="autoZero"/>
        <c:auto val="1"/>
        <c:lblAlgn val="ctr"/>
        <c:lblOffset val="100"/>
        <c:noMultiLvlLbl val="0"/>
      </c:catAx>
      <c:valAx>
        <c:axId val="1791584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Projected Employment Change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28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2</xdr:row>
      <xdr:rowOff>9525</xdr:rowOff>
    </xdr:from>
    <xdr:to>
      <xdr:col>15</xdr:col>
      <xdr:colOff>247650</xdr:colOff>
      <xdr:row>16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8F3E66-B2F3-8F11-C004-841587D7F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5</xdr:row>
      <xdr:rowOff>142875</xdr:rowOff>
    </xdr:from>
    <xdr:to>
      <xdr:col>3</xdr:col>
      <xdr:colOff>1019175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783B0-4CC6-4A68-948D-9A801F655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0</xdr:row>
      <xdr:rowOff>19050</xdr:rowOff>
    </xdr:from>
    <xdr:to>
      <xdr:col>17</xdr:col>
      <xdr:colOff>152400</xdr:colOff>
      <xdr:row>13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AD944-0D5D-8515-8418-4E8C3894EF7D}"/>
            </a:ext>
            <a:ext uri="{147F2762-F138-4A5C-976F-8EAC2B608ADB}">
              <a16:predDERef xmlns:a16="http://schemas.microsoft.com/office/drawing/2014/main" pred="{688783B0-4CC6-4A68-948D-9A801F655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38100</xdr:rowOff>
    </xdr:from>
    <xdr:to>
      <xdr:col>15</xdr:col>
      <xdr:colOff>304800</xdr:colOff>
      <xdr:row>14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5F1E0F-38AB-644A-D0E5-5BD4D9CE6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26</xdr:row>
      <xdr:rowOff>9525</xdr:rowOff>
    </xdr:from>
    <xdr:to>
      <xdr:col>16</xdr:col>
      <xdr:colOff>0</xdr:colOff>
      <xdr:row>40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7C389A-344D-6F0A-5209-3244D4F3358A}"/>
            </a:ext>
            <a:ext uri="{147F2762-F138-4A5C-976F-8EAC2B608ADB}">
              <a16:predDERef xmlns:a16="http://schemas.microsoft.com/office/drawing/2014/main" pred="{065F1E0F-38AB-644A-D0E5-5BD4D9CE6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6.888695023146" createdVersion="8" refreshedVersion="8" minRefreshableVersion="3" recordCount="832" xr:uid="{FDC219E1-0112-4729-B8F2-4AE5202A343B}">
  <cacheSource type="worksheet">
    <worksheetSource ref="A1:P833" sheet="Tbl 1.2"/>
  </cacheSource>
  <cacheFields count="15">
    <cacheField name="Employment Title " numFmtId="0">
      <sharedItems/>
    </cacheField>
    <cacheField name="2024 National Employment Matrix (SOC) code" numFmtId="0">
      <sharedItems/>
    </cacheField>
    <cacheField name="SOC Code Category" numFmtId="0">
      <sharedItems count="22">
        <s v="29"/>
        <s v="13"/>
        <s v="15"/>
        <s v="23"/>
        <s v="43"/>
        <s v="11"/>
        <s v="25"/>
        <s v="19"/>
        <s v="21"/>
        <s v="17"/>
        <s v="41"/>
        <s v="27"/>
        <s v="53"/>
        <s v="31"/>
        <s v="39"/>
        <s v="51"/>
        <s v="33"/>
        <s v="47"/>
        <s v="45"/>
        <s v="49"/>
        <s v="35"/>
        <s v="37"/>
      </sharedItems>
    </cacheField>
    <cacheField name="Occupation type" numFmtId="0">
      <sharedItems/>
    </cacheField>
    <cacheField name="AIOE " numFmtId="0">
      <sharedItems containsSemiMixedTypes="0" containsString="0" containsNumber="1" minValue="-2.6697579999999999" maxValue="1.5276670000000001"/>
    </cacheField>
    <cacheField name="Employment, 2024" numFmtId="164">
      <sharedItems containsSemiMixedTypes="0" containsString="0" containsNumber="1" minValue="0.2" maxValue="4347.7"/>
    </cacheField>
    <cacheField name="Employment, 2034" numFmtId="164">
      <sharedItems containsSemiMixedTypes="0" containsString="0" containsNumber="1" minValue="0.2" maxValue="5087.5"/>
    </cacheField>
    <cacheField name="Employment distribution, percent, 2024" numFmtId="164">
      <sharedItems containsSemiMixedTypes="0" containsString="0" containsNumber="1" minValue="0" maxValue="2.6"/>
    </cacheField>
    <cacheField name="Employment distribution, percent, 2034" numFmtId="164">
      <sharedItems containsSemiMixedTypes="0" containsString="0" containsNumber="1" minValue="0" maxValue="2.9"/>
    </cacheField>
    <cacheField name="Employment change, numeric, 2024–34" numFmtId="164">
      <sharedItems containsSemiMixedTypes="0" containsString="0" containsNumber="1" minValue="-313.60000000000002" maxValue="739.8"/>
    </cacheField>
    <cacheField name="Employment change, percent, 2024–34" numFmtId="164">
      <sharedItems containsSemiMixedTypes="0" containsString="0" containsNumber="1" minValue="-36.1" maxValue="49.9"/>
    </cacheField>
    <cacheField name="Percent self employed, 2024" numFmtId="164">
      <sharedItems containsMixedTypes="1" containsNumber="1" minValue="0" maxValue="91.5"/>
    </cacheField>
    <cacheField name="Occupational openings, 2024–34 annual average" numFmtId="164">
      <sharedItems containsSemiMixedTypes="0" containsString="0" containsNumber="1" minValue="0" maxValue="904.3"/>
    </cacheField>
    <cacheField name="Median annual wage, dollars, 2024[1]" numFmtId="3">
      <sharedItems containsMixedTypes="1" containsNumber="1" containsInteger="1" minValue="30160" maxValue="238380"/>
    </cacheField>
    <cacheField name="Typical education needed for entry" numFmtId="0">
      <sharedItems count="8">
        <s v="Master's degree"/>
        <s v="Bachelor's degree"/>
        <s v="Doctoral or professional degree"/>
        <s v="High school diploma or equivalent"/>
        <s v="Associate's degree"/>
        <s v="No formal educational credential"/>
        <s v="Postsecondary nondegree award"/>
        <s v="Some college, no degree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2">
  <r>
    <s v="Genetic counselors"/>
    <s v="29-9092"/>
    <x v="0"/>
    <s v="Line item"/>
    <n v="1.5276670000000001"/>
    <n v="4"/>
    <n v="4.3"/>
    <n v="0"/>
    <n v="0"/>
    <n v="0.4"/>
    <n v="9.3000000000000007"/>
    <n v="8.1"/>
    <n v="0.3"/>
    <n v="98910"/>
    <x v="0"/>
  </r>
  <r>
    <s v="Financial examiners"/>
    <s v="13-2061"/>
    <x v="1"/>
    <s v="Line item"/>
    <n v="1.5260640000000001"/>
    <n v="65.099999999999994"/>
    <n v="77.2"/>
    <n v="0"/>
    <n v="0"/>
    <n v="12.1"/>
    <n v="18.5"/>
    <n v="0.4"/>
    <n v="5.7"/>
    <n v="90400"/>
    <x v="1"/>
  </r>
  <r>
    <s v="Actuaries"/>
    <s v="15-2011"/>
    <x v="2"/>
    <s v="Line item"/>
    <n v="1.5164740000000001"/>
    <n v="33.6"/>
    <n v="40.9"/>
    <n v="0"/>
    <n v="0"/>
    <n v="7.3"/>
    <n v="21.8"/>
    <s v="—"/>
    <n v="2.4"/>
    <n v="125770"/>
    <x v="1"/>
  </r>
  <r>
    <s v="Budget analysts"/>
    <s v="13-2031"/>
    <x v="1"/>
    <s v="Line item"/>
    <n v="1.502988"/>
    <n v="50.4"/>
    <n v="51"/>
    <n v="0"/>
    <n v="0"/>
    <n v="0.5"/>
    <n v="1"/>
    <s v="—"/>
    <n v="3.1"/>
    <n v="87930"/>
    <x v="1"/>
  </r>
  <r>
    <s v="Judges, magistrate judges, and magistrates"/>
    <s v="23-1023"/>
    <x v="3"/>
    <s v="Line item"/>
    <n v="1.496494"/>
    <n v="27.3"/>
    <n v="28"/>
    <n v="0"/>
    <n v="0"/>
    <n v="0.7"/>
    <n v="2.5"/>
    <s v="—"/>
    <n v="0.9"/>
    <n v="156210"/>
    <x v="2"/>
  </r>
  <r>
    <s v="Procurement clerks"/>
    <s v="43-3061"/>
    <x v="4"/>
    <s v="Line item"/>
    <n v="1.487838"/>
    <n v="61.9"/>
    <n v="56.6"/>
    <n v="0"/>
    <n v="0"/>
    <n v="-5.4"/>
    <n v="-8.6999999999999993"/>
    <s v="—"/>
    <n v="4.5999999999999996"/>
    <n v="48510"/>
    <x v="3"/>
  </r>
  <r>
    <s v="Accountants and auditors"/>
    <s v="13-2011"/>
    <x v="1"/>
    <s v="Line item"/>
    <n v="1.4819560000000001"/>
    <n v="1579.8"/>
    <n v="1652.6"/>
    <n v="0.9"/>
    <n v="0.9"/>
    <n v="72.8"/>
    <n v="4.5999999999999996"/>
    <n v="4.5999999999999996"/>
    <n v="124.2"/>
    <n v="81680"/>
    <x v="1"/>
  </r>
  <r>
    <s v="Mathematicians"/>
    <s v="15-2021"/>
    <x v="2"/>
    <s v="Line item"/>
    <n v="1.4723189999999999"/>
    <n v="2.4"/>
    <n v="2.4"/>
    <n v="0"/>
    <n v="0"/>
    <n v="0"/>
    <n v="-0.7"/>
    <s v="—"/>
    <n v="0.1"/>
    <n v="121680"/>
    <x v="0"/>
  </r>
  <r>
    <s v="Judicial law clerks"/>
    <s v="23-1012"/>
    <x v="3"/>
    <s v="Line item"/>
    <n v="1.4629730000000001"/>
    <n v="14.5"/>
    <n v="14.9"/>
    <n v="0"/>
    <n v="0"/>
    <n v="0.4"/>
    <n v="2.5"/>
    <n v="2.7"/>
    <n v="1"/>
    <n v="60400"/>
    <x v="2"/>
  </r>
  <r>
    <s v="Education administrators, postsecondary"/>
    <s v="11-9033"/>
    <x v="5"/>
    <s v="Line item"/>
    <n v="1.461149"/>
    <n v="226.6"/>
    <n v="230.5"/>
    <n v="0.1"/>
    <n v="0.1"/>
    <n v="4"/>
    <n v="1.7"/>
    <n v="2.2000000000000002"/>
    <n v="15.1"/>
    <n v="103960"/>
    <x v="0"/>
  </r>
  <r>
    <s v="Financial managers"/>
    <s v="11-3031"/>
    <x v="5"/>
    <s v="Line item"/>
    <n v="1.446232"/>
    <n v="868.6"/>
    <n v="997.4"/>
    <n v="0.5"/>
    <n v="0.6"/>
    <n v="128.80000000000001"/>
    <n v="14.8"/>
    <n v="2.4"/>
    <n v="74.599999999999994"/>
    <n v="161700"/>
    <x v="1"/>
  </r>
  <r>
    <s v="Compensation, benefits, and job analysis specialists"/>
    <s v="13-1141"/>
    <x v="1"/>
    <s v="Line item"/>
    <n v="1.440985"/>
    <n v="107"/>
    <n v="112.7"/>
    <n v="0.1"/>
    <n v="0.1"/>
    <n v="5.6"/>
    <n v="5.3"/>
    <s v="—"/>
    <n v="8.5"/>
    <n v="77020"/>
    <x v="1"/>
  </r>
  <r>
    <s v="Credit authorizers, checkers, and clerks"/>
    <s v="43-4041"/>
    <x v="4"/>
    <s v="Line item"/>
    <n v="1.440296"/>
    <n v="12"/>
    <n v="11.3"/>
    <n v="0"/>
    <n v="0"/>
    <n v="-0.7"/>
    <n v="-6.2"/>
    <s v="—"/>
    <n v="1"/>
    <n v="49130"/>
    <x v="3"/>
  </r>
  <r>
    <s v="History teachers, postsecondary"/>
    <s v="25-1125"/>
    <x v="6"/>
    <s v="Line item"/>
    <n v="1.4374899999999999"/>
    <n v="24.6"/>
    <n v="24.6"/>
    <n v="0"/>
    <n v="0"/>
    <n v="-0.1"/>
    <n v="-0.2"/>
    <n v="0.2"/>
    <n v="1.7"/>
    <n v="81500"/>
    <x v="2"/>
  </r>
  <r>
    <s v="Geographers"/>
    <s v="19-3092"/>
    <x v="7"/>
    <s v="Line item"/>
    <n v="1.4362980000000001"/>
    <n v="1.5"/>
    <n v="1.5"/>
    <n v="0"/>
    <n v="0"/>
    <n v="0"/>
    <n v="-3.1"/>
    <s v="—"/>
    <n v="0.1"/>
    <n v="97200"/>
    <x v="1"/>
  </r>
  <r>
    <s v="Epidemiologists"/>
    <s v="19-1041"/>
    <x v="7"/>
    <s v="Line item"/>
    <n v="1.4362870000000001"/>
    <n v="12.3"/>
    <n v="14.3"/>
    <n v="0"/>
    <n v="0"/>
    <n v="2"/>
    <n v="16.2"/>
    <s v="—"/>
    <n v="0.8"/>
    <n v="83980"/>
    <x v="0"/>
  </r>
  <r>
    <s v="Management analysts"/>
    <s v="13-1111"/>
    <x v="1"/>
    <s v="Line item"/>
    <n v="1.4324170000000001"/>
    <n v="1075.0999999999999"/>
    <n v="1169.7"/>
    <n v="0.6"/>
    <n v="0.7"/>
    <n v="94.5"/>
    <n v="8.8000000000000007"/>
    <n v="13.7"/>
    <n v="98.1"/>
    <n v="101190"/>
    <x v="1"/>
  </r>
  <r>
    <s v="Arbitrators, mediators, and conciliators"/>
    <s v="23-1022"/>
    <x v="3"/>
    <s v="Line item"/>
    <n v="1.4315929999999999"/>
    <n v="9.1"/>
    <n v="9.5"/>
    <n v="0"/>
    <n v="0"/>
    <n v="0.4"/>
    <n v="4.3"/>
    <n v="9.1"/>
    <n v="0.3"/>
    <n v="67710"/>
    <x v="1"/>
  </r>
  <r>
    <s v="Market research analysts and marketing specialists"/>
    <s v="13-1161"/>
    <x v="1"/>
    <s v="Line item"/>
    <n v="1.4267570000000001"/>
    <n v="941.7"/>
    <n v="1004.7"/>
    <n v="0.6"/>
    <n v="0.6"/>
    <n v="63"/>
    <n v="6.7"/>
    <n v="5.9"/>
    <n v="87.2"/>
    <n v="76950"/>
    <x v="1"/>
  </r>
  <r>
    <s v="Survey researchers"/>
    <s v="19-3022"/>
    <x v="7"/>
    <s v="Line item"/>
    <n v="1.4265300000000001"/>
    <n v="8.8000000000000007"/>
    <n v="8.3000000000000007"/>
    <n v="0"/>
    <n v="0"/>
    <n v="-0.5"/>
    <n v="-5.2"/>
    <n v="4"/>
    <n v="0.7"/>
    <n v="63380"/>
    <x v="0"/>
  </r>
  <r>
    <s v="Purchasing managers"/>
    <s v="11-3061"/>
    <x v="5"/>
    <s v="Line item"/>
    <n v="1.4234260000000001"/>
    <n v="83.5"/>
    <n v="86.1"/>
    <n v="0"/>
    <n v="0"/>
    <n v="2.6"/>
    <n v="3.1"/>
    <n v="0.8"/>
    <n v="6.4"/>
    <n v="139510"/>
    <x v="1"/>
  </r>
  <r>
    <s v="Political scientists"/>
    <s v="19-3094"/>
    <x v="7"/>
    <s v="Line item"/>
    <n v="1.418863"/>
    <n v="6.5"/>
    <n v="6.3"/>
    <n v="0"/>
    <n v="0"/>
    <n v="-0.2"/>
    <n v="-3.1"/>
    <n v="1.1000000000000001"/>
    <n v="0.5"/>
    <n v="139380"/>
    <x v="0"/>
  </r>
  <r>
    <s v="English language and literature teachers, postsecondary"/>
    <s v="25-1123"/>
    <x v="6"/>
    <s v="Line item"/>
    <n v="1.4178329999999999"/>
    <n v="72.2"/>
    <n v="72.2"/>
    <n v="0"/>
    <n v="0"/>
    <n v="0"/>
    <n v="0"/>
    <n v="0.2"/>
    <n v="5.0999999999999996"/>
    <n v="78270"/>
    <x v="2"/>
  </r>
  <r>
    <s v="Sociologists"/>
    <s v="19-3041"/>
    <x v="7"/>
    <s v="Line item"/>
    <n v="1.411125"/>
    <n v="3.4"/>
    <n v="3.6"/>
    <n v="0"/>
    <n v="0"/>
    <n v="0.1"/>
    <n v="3.6"/>
    <n v="3"/>
    <n v="0.3"/>
    <n v="101690"/>
    <x v="0"/>
  </r>
  <r>
    <s v="Cargo and freight agents"/>
    <s v="43-5011"/>
    <x v="4"/>
    <s v="Line item"/>
    <n v="1.4054150000000001"/>
    <n v="100.6"/>
    <n v="109.2"/>
    <n v="0.1"/>
    <n v="0.1"/>
    <n v="8.6"/>
    <n v="8.5"/>
    <n v="1.2"/>
    <n v="8.8000000000000007"/>
    <n v="49900"/>
    <x v="3"/>
  </r>
  <r>
    <s v="Economists"/>
    <s v="19-3011"/>
    <x v="7"/>
    <s v="Line item"/>
    <n v="1.403764"/>
    <n v="17.600000000000001"/>
    <n v="17.8"/>
    <n v="0"/>
    <n v="0"/>
    <n v="0.2"/>
    <n v="1.2"/>
    <n v="3.7"/>
    <n v="0.9"/>
    <n v="115440"/>
    <x v="0"/>
  </r>
  <r>
    <s v="Industrial-organizational psychologists"/>
    <s v="19-3032"/>
    <x v="7"/>
    <s v="Line item"/>
    <n v="1.4024749999999999"/>
    <n v="5.6"/>
    <n v="5.9"/>
    <n v="0"/>
    <n v="0"/>
    <n v="0.3"/>
    <n v="6.3"/>
    <n v="80.5"/>
    <n v="0.4"/>
    <n v="109840"/>
    <x v="0"/>
  </r>
  <r>
    <s v="Personal financial advisors"/>
    <s v="13-2052"/>
    <x v="1"/>
    <s v="Line item"/>
    <n v="1.400749"/>
    <n v="326"/>
    <n v="357.2"/>
    <n v="0.2"/>
    <n v="0.2"/>
    <n v="31.2"/>
    <n v="9.6"/>
    <n v="15.8"/>
    <n v="24.1"/>
    <n v="102140"/>
    <x v="1"/>
  </r>
  <r>
    <s v="Operations research analysts"/>
    <s v="15-2031"/>
    <x v="2"/>
    <s v="Line item"/>
    <n v="1.40002"/>
    <n v="112.1"/>
    <n v="136.19999999999999"/>
    <n v="0.1"/>
    <n v="0.1"/>
    <n v="24.1"/>
    <n v="21.5"/>
    <s v="—"/>
    <n v="9.6"/>
    <n v="91290"/>
    <x v="1"/>
  </r>
  <r>
    <s v="Criminal justice and law enforcement teachers, postsecondary"/>
    <s v="25-1111"/>
    <x v="6"/>
    <s v="Line item"/>
    <n v="1.389999"/>
    <n v="16.2"/>
    <n v="16.5"/>
    <n v="0"/>
    <n v="0"/>
    <n v="0.3"/>
    <n v="2"/>
    <s v="—"/>
    <n v="1.2"/>
    <n v="71470"/>
    <x v="2"/>
  </r>
  <r>
    <s v="Statistical assistants"/>
    <s v="43-9111"/>
    <x v="4"/>
    <s v="Line item"/>
    <n v="1.3899649999999999"/>
    <n v="6.5"/>
    <n v="6.3"/>
    <n v="0"/>
    <n v="0"/>
    <n v="-0.2"/>
    <n v="-2.5"/>
    <s v="—"/>
    <n v="0.8"/>
    <n v="51440"/>
    <x v="1"/>
  </r>
  <r>
    <s v="Psychologists, all other"/>
    <s v="19-3039"/>
    <x v="7"/>
    <s v="Line item"/>
    <n v="1.3898539999999999"/>
    <n v="55.3"/>
    <n v="57.7"/>
    <n v="0"/>
    <n v="0"/>
    <n v="2.4"/>
    <n v="4.3"/>
    <n v="65.900000000000006"/>
    <n v="3.9"/>
    <n v="117580"/>
    <x v="0"/>
  </r>
  <r>
    <s v="Library science teachers, postsecondary"/>
    <s v="25-1082"/>
    <x v="6"/>
    <s v="Line item"/>
    <n v="1.3862920000000001"/>
    <n v="5.0999999999999996"/>
    <n v="5.3"/>
    <n v="0"/>
    <n v="0"/>
    <n v="0.2"/>
    <n v="3"/>
    <s v="—"/>
    <n v="0.4"/>
    <n v="78630"/>
    <x v="2"/>
  </r>
  <r>
    <s v="Loan officers"/>
    <s v="13-2072"/>
    <x v="1"/>
    <s v="Line item"/>
    <n v="1.3857390000000001"/>
    <n v="301.39999999999998"/>
    <n v="306.5"/>
    <n v="0.2"/>
    <n v="0.2"/>
    <n v="5"/>
    <n v="1.7"/>
    <n v="2.1"/>
    <n v="20.3"/>
    <n v="74180"/>
    <x v="1"/>
  </r>
  <r>
    <s v="Credit counselors"/>
    <s v="13-2071"/>
    <x v="1"/>
    <s v="Line item"/>
    <n v="1.385381"/>
    <n v="31.8"/>
    <n v="32.9"/>
    <n v="0"/>
    <n v="0"/>
    <n v="1.1000000000000001"/>
    <n v="3.3"/>
    <n v="1.4"/>
    <n v="2.2000000000000002"/>
    <n v="50480"/>
    <x v="1"/>
  </r>
  <r>
    <s v="Statisticians"/>
    <s v="15-2041"/>
    <x v="2"/>
    <s v="Line item"/>
    <n v="1.3827240000000001"/>
    <n v="32.200000000000003"/>
    <n v="34.9"/>
    <n v="0"/>
    <n v="0"/>
    <n v="2.7"/>
    <n v="8.5"/>
    <n v="1.3"/>
    <n v="2"/>
    <n v="103300"/>
    <x v="0"/>
  </r>
  <r>
    <s v="Financial and investment analysts"/>
    <s v="13-2051"/>
    <x v="1"/>
    <s v="Line item"/>
    <n v="1.3806149999999999"/>
    <n v="368.5"/>
    <n v="389.6"/>
    <n v="0.2"/>
    <n v="0.2"/>
    <n v="21.1"/>
    <n v="5.7"/>
    <n v="5"/>
    <n v="25.1"/>
    <n v="101350"/>
    <x v="1"/>
  </r>
  <r>
    <s v="Administrative law judges, adjudicators, and hearing officers"/>
    <s v="23-1021"/>
    <x v="3"/>
    <s v="Line item"/>
    <n v="1.374714"/>
    <n v="17.5"/>
    <n v="17.399999999999999"/>
    <n v="0"/>
    <n v="0"/>
    <n v="-0.1"/>
    <n v="-0.7"/>
    <s v="—"/>
    <n v="0.5"/>
    <n v="115230"/>
    <x v="2"/>
  </r>
  <r>
    <s v="Atmospheric and space scientists"/>
    <s v="19-2021"/>
    <x v="7"/>
    <s v="Line item"/>
    <n v="1.3739170000000001"/>
    <n v="9.4"/>
    <n v="9.5"/>
    <n v="0"/>
    <n v="0"/>
    <n v="0.1"/>
    <n v="0.7"/>
    <s v="—"/>
    <n v="0.7"/>
    <n v="97450"/>
    <x v="1"/>
  </r>
  <r>
    <s v="Astronomers"/>
    <s v="19-2011"/>
    <x v="7"/>
    <s v="Line item"/>
    <n v="1.373737"/>
    <n v="1.8"/>
    <n v="1.8"/>
    <n v="0"/>
    <n v="0"/>
    <n v="0"/>
    <n v="2.2000000000000002"/>
    <n v="5.4"/>
    <n v="0.1"/>
    <n v="132170"/>
    <x v="2"/>
  </r>
  <r>
    <s v="Political science teachers, postsecondary"/>
    <s v="25-1065"/>
    <x v="6"/>
    <s v="Line item"/>
    <n v="1.3683970000000001"/>
    <n v="21.8"/>
    <n v="22.2"/>
    <n v="0"/>
    <n v="0"/>
    <n v="0.4"/>
    <n v="2"/>
    <n v="0.3"/>
    <n v="1.6"/>
    <n v="94680"/>
    <x v="2"/>
  </r>
  <r>
    <s v="Cost estimators"/>
    <s v="13-1051"/>
    <x v="1"/>
    <s v="Line item"/>
    <n v="1.367669"/>
    <n v="221.4"/>
    <n v="212.1"/>
    <n v="0.1"/>
    <n v="0.1"/>
    <n v="-9.3000000000000007"/>
    <n v="-4.2"/>
    <n v="0.3"/>
    <n v="16.899999999999999"/>
    <n v="77070"/>
    <x v="1"/>
  </r>
  <r>
    <s v="Marriage and family therapists"/>
    <s v="21-1013"/>
    <x v="8"/>
    <s v="Line item"/>
    <n v="1.367434"/>
    <n v="77.8"/>
    <n v="87.7"/>
    <n v="0"/>
    <n v="0.1"/>
    <n v="9.8000000000000007"/>
    <n v="12.6"/>
    <n v="12.8"/>
    <n v="7.7"/>
    <n v="63780"/>
    <x v="0"/>
  </r>
  <r>
    <s v="Tax examiners and collectors, and revenue agents"/>
    <s v="13-2081"/>
    <x v="1"/>
    <s v="Line item"/>
    <n v="1.3668199999999999"/>
    <n v="57.6"/>
    <n v="56.5"/>
    <n v="0"/>
    <n v="0"/>
    <n v="-1"/>
    <n v="-1.8"/>
    <s v="—"/>
    <n v="4.3"/>
    <n v="59740"/>
    <x v="1"/>
  </r>
  <r>
    <s v="Loan interviewers and clerks"/>
    <s v="43-4131"/>
    <x v="4"/>
    <s v="Line item"/>
    <n v="1.364395"/>
    <n v="177.6"/>
    <n v="173.5"/>
    <n v="0.1"/>
    <n v="0.1"/>
    <n v="-4.0999999999999996"/>
    <n v="-2.2999999999999998"/>
    <n v="0.9"/>
    <n v="13.3"/>
    <n v="48950"/>
    <x v="3"/>
  </r>
  <r>
    <s v="Philosophy and religion teachers, postsecondary"/>
    <s v="25-1126"/>
    <x v="6"/>
    <s v="Line item"/>
    <n v="1.3635219999999999"/>
    <n v="27.3"/>
    <n v="27.5"/>
    <n v="0"/>
    <n v="0"/>
    <n v="0.2"/>
    <n v="0.7"/>
    <n v="0.5"/>
    <n v="2"/>
    <n v="78050"/>
    <x v="2"/>
  </r>
  <r>
    <s v="Financial specialists, all other"/>
    <s v="13-2099"/>
    <x v="1"/>
    <s v="Line item"/>
    <n v="1.361362"/>
    <n v="137.1"/>
    <n v="141.4"/>
    <n v="0.1"/>
    <n v="0.1"/>
    <n v="4.3"/>
    <n v="3.1"/>
    <n v="2.9"/>
    <n v="10.3"/>
    <n v="80190"/>
    <x v="1"/>
  </r>
  <r>
    <s v="Human resources specialists"/>
    <s v="13-1071"/>
    <x v="1"/>
    <s v="Line item"/>
    <n v="1.36005"/>
    <n v="944.3"/>
    <n v="1002.7"/>
    <n v="0.6"/>
    <n v="0.6"/>
    <n v="58.4"/>
    <n v="6.2"/>
    <n v="0.5"/>
    <n v="81.8"/>
    <n v="72910"/>
    <x v="1"/>
  </r>
  <r>
    <s v="Law teachers, postsecondary"/>
    <s v="25-1112"/>
    <x v="6"/>
    <s v="Line item"/>
    <n v="1.3564499999999999"/>
    <n v="29.5"/>
    <n v="30.2"/>
    <n v="0"/>
    <n v="0"/>
    <n v="0.6"/>
    <n v="2.2000000000000002"/>
    <n v="0.3"/>
    <n v="2.2000000000000002"/>
    <n v="126650"/>
    <x v="2"/>
  </r>
  <r>
    <s v="Human resources assistants, except payroll and timekeeping"/>
    <s v="43-4161"/>
    <x v="4"/>
    <s v="Line item"/>
    <n v="1.3530979999999999"/>
    <n v="95.2"/>
    <n v="88.4"/>
    <n v="0.1"/>
    <n v="0.1"/>
    <n v="-6.8"/>
    <n v="-7.1"/>
    <n v="0.3"/>
    <n v="9"/>
    <n v="49440"/>
    <x v="4"/>
  </r>
  <r>
    <s v="Engineering teachers, postsecondary"/>
    <s v="25-1032"/>
    <x v="6"/>
    <s v="Line item"/>
    <n v="1.3511329999999999"/>
    <n v="50.3"/>
    <n v="54.4"/>
    <n v="0"/>
    <n v="0"/>
    <n v="4.0999999999999996"/>
    <n v="8.1"/>
    <n v="0.2"/>
    <n v="4.0999999999999996"/>
    <n v="106120"/>
    <x v="2"/>
  </r>
  <r>
    <s v="Business teachers, postsecondary"/>
    <s v="25-1011"/>
    <x v="6"/>
    <s v="Line item"/>
    <n v="1.3493139999999999"/>
    <n v="103.1"/>
    <n v="109"/>
    <n v="0.1"/>
    <n v="0.1"/>
    <n v="5.8"/>
    <n v="5.7"/>
    <n v="0.3"/>
    <n v="8.1"/>
    <n v="97270"/>
    <x v="2"/>
  </r>
  <r>
    <s v="Sociology teachers, postsecondary"/>
    <s v="25-1067"/>
    <x v="6"/>
    <s v="Line item"/>
    <n v="1.349229"/>
    <n v="15.4"/>
    <n v="15.7"/>
    <n v="0"/>
    <n v="0"/>
    <n v="0.3"/>
    <n v="2.1"/>
    <s v="—"/>
    <n v="1.1000000000000001"/>
    <n v="82540"/>
    <x v="2"/>
  </r>
  <r>
    <s v="Adult basic education, adult secondary education, and english as a second language instructors"/>
    <s v="25-3011"/>
    <x v="6"/>
    <s v="Line item"/>
    <n v="1.348951"/>
    <n v="40.9"/>
    <n v="35.299999999999997"/>
    <n v="0"/>
    <n v="0"/>
    <n v="-5.6"/>
    <n v="-13.7"/>
    <n v="5.6"/>
    <n v="3.9"/>
    <n v="59950"/>
    <x v="1"/>
  </r>
  <r>
    <s v="Environmental science teachers, postsecondary"/>
    <s v="25-1053"/>
    <x v="6"/>
    <s v="Line item"/>
    <n v="1.3475189999999999"/>
    <n v="9"/>
    <n v="9.3000000000000007"/>
    <n v="0"/>
    <n v="0"/>
    <n v="0.3"/>
    <n v="2.9"/>
    <s v="—"/>
    <n v="0.7"/>
    <n v="87710"/>
    <x v="2"/>
  </r>
  <r>
    <s v="Communications teachers, postsecondary"/>
    <s v="25-1122"/>
    <x v="6"/>
    <s v="Line item"/>
    <n v="1.3474349999999999"/>
    <n v="35.799999999999997"/>
    <n v="36.6"/>
    <n v="0"/>
    <n v="0"/>
    <n v="0.8"/>
    <n v="2.1"/>
    <n v="0.2"/>
    <n v="2.7"/>
    <n v="77800"/>
    <x v="2"/>
  </r>
  <r>
    <s v="Social work teachers, postsecondary"/>
    <s v="25-1113"/>
    <x v="6"/>
    <s v="Line item"/>
    <n v="1.3473269999999999"/>
    <n v="17.100000000000001"/>
    <n v="17.5"/>
    <n v="0"/>
    <n v="0"/>
    <n v="0.4"/>
    <n v="2.2999999999999998"/>
    <s v="—"/>
    <n v="1.3"/>
    <n v="76210"/>
    <x v="2"/>
  </r>
  <r>
    <s v="Mining and geological engineers, including mining safety engineers"/>
    <s v="17-2151"/>
    <x v="9"/>
    <s v="Line item"/>
    <n v="1.3469500000000001"/>
    <n v="7"/>
    <n v="7"/>
    <n v="0"/>
    <n v="0"/>
    <n v="0"/>
    <n v="0.7"/>
    <n v="1.7"/>
    <n v="0.4"/>
    <n v="101020"/>
    <x v="1"/>
  </r>
  <r>
    <s v="Physicists"/>
    <s v="19-2012"/>
    <x v="7"/>
    <s v="Line item"/>
    <n v="1.345736"/>
    <n v="24.6"/>
    <n v="25.6"/>
    <n v="0"/>
    <n v="0"/>
    <n v="1"/>
    <n v="4"/>
    <n v="8.6999999999999993"/>
    <n v="1.7"/>
    <n v="166290"/>
    <x v="2"/>
  </r>
  <r>
    <s v="Credit analysts"/>
    <s v="13-2041"/>
    <x v="1"/>
    <s v="Line item"/>
    <n v="1.3452679999999999"/>
    <n v="67.8"/>
    <n v="64.8"/>
    <n v="0"/>
    <n v="0"/>
    <n v="-3"/>
    <n v="-4.4000000000000004"/>
    <s v="—"/>
    <n v="3.7"/>
    <n v="80970"/>
    <x v="1"/>
  </r>
  <r>
    <s v="Environmental engineers"/>
    <s v="17-2081"/>
    <x v="9"/>
    <s v="Line item"/>
    <n v="1.343561"/>
    <n v="39.4"/>
    <n v="41"/>
    <n v="0"/>
    <n v="0"/>
    <n v="1.5"/>
    <n v="3.9"/>
    <n v="1"/>
    <n v="3"/>
    <n v="104170"/>
    <x v="1"/>
  </r>
  <r>
    <s v="Dietitians and nutritionists"/>
    <s v="29-1031"/>
    <x v="0"/>
    <s v="Line item"/>
    <n v="1.3428089999999999"/>
    <n v="90.9"/>
    <n v="95.9"/>
    <n v="0.1"/>
    <n v="0.1"/>
    <n v="5"/>
    <n v="5.5"/>
    <n v="12.2"/>
    <n v="6.2"/>
    <n v="73850"/>
    <x v="1"/>
  </r>
  <r>
    <s v="Chemical engineers"/>
    <s v="17-2041"/>
    <x v="9"/>
    <s v="Line item"/>
    <n v="1.3413360000000001"/>
    <n v="21.6"/>
    <n v="22.1"/>
    <n v="0"/>
    <n v="0"/>
    <n v="0.6"/>
    <n v="2.6"/>
    <n v="5.0999999999999996"/>
    <n v="1.1000000000000001"/>
    <n v="121860"/>
    <x v="1"/>
  </r>
  <r>
    <s v="Insurance sales agents"/>
    <s v="41-3021"/>
    <x v="10"/>
    <s v="Line item"/>
    <n v="1.3412580000000001"/>
    <n v="568.79999999999995"/>
    <n v="589.79999999999995"/>
    <n v="0.3"/>
    <n v="0.3"/>
    <n v="21.1"/>
    <n v="3.7"/>
    <n v="12.5"/>
    <n v="47"/>
    <n v="60370"/>
    <x v="3"/>
  </r>
  <r>
    <s v="Aerospace engineers"/>
    <s v="17-2011"/>
    <x v="9"/>
    <s v="Line item"/>
    <n v="1.338738"/>
    <n v="71.599999999999994"/>
    <n v="75.900000000000006"/>
    <n v="0"/>
    <n v="0"/>
    <n v="4.4000000000000004"/>
    <n v="6.1"/>
    <n v="2.6"/>
    <n v="4.5"/>
    <n v="134830"/>
    <x v="1"/>
  </r>
  <r>
    <s v="Mathematical science teachers, postsecondary"/>
    <s v="25-1022"/>
    <x v="6"/>
    <s v="Line item"/>
    <n v="1.338676"/>
    <n v="58.9"/>
    <n v="60.2"/>
    <n v="0"/>
    <n v="0"/>
    <n v="1.3"/>
    <n v="2.2999999999999998"/>
    <n v="0.2"/>
    <n v="4.4000000000000004"/>
    <n v="79350"/>
    <x v="2"/>
  </r>
  <r>
    <s v="Labor relations specialists"/>
    <s v="13-1075"/>
    <x v="1"/>
    <s v="Line item"/>
    <n v="1.3348340000000001"/>
    <n v="65.400000000000006"/>
    <n v="65.400000000000006"/>
    <n v="0"/>
    <n v="0"/>
    <n v="-0.1"/>
    <n v="-0.1"/>
    <n v="0.5"/>
    <n v="5.0999999999999996"/>
    <n v="93500"/>
    <x v="1"/>
  </r>
  <r>
    <s v="Chief executives"/>
    <s v="11-1011"/>
    <x v="5"/>
    <s v="Line item"/>
    <n v="1.334246"/>
    <n v="309.39999999999998"/>
    <n v="322.7"/>
    <n v="0.2"/>
    <n v="0.2"/>
    <n v="13.3"/>
    <n v="4.3"/>
    <n v="25.9"/>
    <n v="22.2"/>
    <n v="206420"/>
    <x v="1"/>
  </r>
  <r>
    <s v="Foreign language and literature teachers, postsecondary"/>
    <s v="25-1124"/>
    <x v="6"/>
    <s v="Line item"/>
    <n v="1.33412"/>
    <n v="26.4"/>
    <n v="26.4"/>
    <n v="0"/>
    <n v="0"/>
    <n v="0"/>
    <n v="-0.2"/>
    <n v="0.3"/>
    <n v="1.9"/>
    <n v="77010"/>
    <x v="2"/>
  </r>
  <r>
    <s v="Chemistry teachers, postsecondary"/>
    <s v="25-1052"/>
    <x v="6"/>
    <s v="Line item"/>
    <n v="1.333947"/>
    <n v="25.4"/>
    <n v="26"/>
    <n v="0"/>
    <n v="0"/>
    <n v="0.6"/>
    <n v="2.2000000000000002"/>
    <n v="0.2"/>
    <n v="1.9"/>
    <n v="86220"/>
    <x v="2"/>
  </r>
  <r>
    <s v="Psychology teachers, postsecondary"/>
    <s v="25-1066"/>
    <x v="6"/>
    <s v="Line item"/>
    <n v="1.3336600000000001"/>
    <n v="52.5"/>
    <n v="54.4"/>
    <n v="0"/>
    <n v="0"/>
    <n v="1.9"/>
    <n v="3.6"/>
    <n v="0.3"/>
    <n v="4"/>
    <n v="80330"/>
    <x v="2"/>
  </r>
  <r>
    <s v="Billing and posting clerks"/>
    <s v="43-3021"/>
    <x v="4"/>
    <s v="Line item"/>
    <n v="1.3334550000000001"/>
    <n v="429.8"/>
    <n v="427.9"/>
    <n v="0.3"/>
    <n v="0.2"/>
    <n v="-1.9"/>
    <n v="-0.4"/>
    <n v="0.8"/>
    <n v="42.2"/>
    <n v="47170"/>
    <x v="3"/>
  </r>
  <r>
    <s v="Lawyers"/>
    <s v="23-1011"/>
    <x v="3"/>
    <s v="Line item"/>
    <n v="1.328783"/>
    <n v="864.8"/>
    <n v="900.7"/>
    <n v="0.5"/>
    <n v="0.5"/>
    <n v="35.9"/>
    <n v="4.0999999999999996"/>
    <n v="11.9"/>
    <n v="31.5"/>
    <n v="151160"/>
    <x v="2"/>
  </r>
  <r>
    <s v="Social scientists and related workers, all other"/>
    <s v="19-3099"/>
    <x v="7"/>
    <s v="Line item"/>
    <n v="1.3280479999999999"/>
    <n v="40.799999999999997"/>
    <n v="40.1"/>
    <n v="0"/>
    <n v="0"/>
    <n v="-0.7"/>
    <n v="-1.7"/>
    <n v="1.3"/>
    <n v="3.2"/>
    <n v="100340"/>
    <x v="1"/>
  </r>
  <r>
    <s v="Natural sciences managers"/>
    <s v="11-9121"/>
    <x v="5"/>
    <s v="Line item"/>
    <n v="1.327906"/>
    <n v="104.3"/>
    <n v="108.2"/>
    <n v="0.1"/>
    <n v="0.1"/>
    <n v="3.9"/>
    <n v="3.7"/>
    <s v="—"/>
    <n v="8.5"/>
    <n v="161180"/>
    <x v="1"/>
  </r>
  <r>
    <s v="Insurance underwriters"/>
    <s v="13-2053"/>
    <x v="1"/>
    <s v="Line item"/>
    <n v="1.3266519999999999"/>
    <n v="127"/>
    <n v="123.7"/>
    <n v="0.1"/>
    <n v="0.1"/>
    <n v="-3.3"/>
    <n v="-2.6"/>
    <s v="—"/>
    <n v="8.1999999999999993"/>
    <n v="79880"/>
    <x v="1"/>
  </r>
  <r>
    <s v="Teachers and instructors, all other"/>
    <s v="25-3099"/>
    <x v="6"/>
    <s v="Line item"/>
    <n v="1.3253299999999999"/>
    <n v="153.80000000000001"/>
    <n v="153.5"/>
    <n v="0.1"/>
    <n v="0.1"/>
    <n v="-0.2"/>
    <n v="-0.1"/>
    <n v="8.6"/>
    <n v="18"/>
    <n v="64690"/>
    <x v="1"/>
  </r>
  <r>
    <s v="Anthropology and archeology teachers, postsecondary"/>
    <s v="25-1061"/>
    <x v="6"/>
    <s v="Line item"/>
    <n v="1.3216939999999999"/>
    <n v="6.5"/>
    <n v="6.7"/>
    <n v="0"/>
    <n v="0"/>
    <n v="0.2"/>
    <n v="2.7"/>
    <s v="—"/>
    <n v="0.5"/>
    <n v="95770"/>
    <x v="2"/>
  </r>
  <r>
    <s v="Human resources managers"/>
    <s v="11-3121"/>
    <x v="5"/>
    <s v="Line item"/>
    <n v="1.320417"/>
    <n v="221.9"/>
    <n v="233"/>
    <n v="0.1"/>
    <n v="0.1"/>
    <n v="11.1"/>
    <n v="5"/>
    <n v="0.6"/>
    <n v="17.899999999999999"/>
    <n v="140030"/>
    <x v="1"/>
  </r>
  <r>
    <s v="Economics teachers, postsecondary"/>
    <s v="25-1063"/>
    <x v="6"/>
    <s v="Line item"/>
    <n v="1.3190120000000001"/>
    <n v="15.8"/>
    <n v="16.100000000000001"/>
    <n v="0"/>
    <n v="0"/>
    <n v="0.3"/>
    <n v="2.1"/>
    <s v="—"/>
    <n v="1.2"/>
    <n v="119980"/>
    <x v="2"/>
  </r>
  <r>
    <s v="Geography teachers, postsecondary"/>
    <s v="25-1064"/>
    <x v="6"/>
    <s v="Line item"/>
    <n v="1.318899"/>
    <n v="4"/>
    <n v="4.2"/>
    <n v="0"/>
    <n v="0"/>
    <n v="0.1"/>
    <n v="3.3"/>
    <s v="—"/>
    <n v="0.3"/>
    <n v="86730"/>
    <x v="2"/>
  </r>
  <r>
    <s v="First-line supervisors of non-retail sales workers"/>
    <s v="41-1012"/>
    <x v="10"/>
    <s v="Line item"/>
    <n v="1.316195"/>
    <n v="320"/>
    <n v="320"/>
    <n v="0.2"/>
    <n v="0.2"/>
    <n v="0"/>
    <n v="0"/>
    <n v="30"/>
    <n v="24.8"/>
    <n v="84130"/>
    <x v="3"/>
  </r>
  <r>
    <s v="Marketing managers"/>
    <s v="11-2021"/>
    <x v="5"/>
    <s v="Line item"/>
    <n v="1.315032"/>
    <n v="407"/>
    <n v="433.7"/>
    <n v="0.2"/>
    <n v="0.2"/>
    <n v="26.7"/>
    <n v="6.6"/>
    <n v="3.6"/>
    <n v="34.299999999999997"/>
    <n v="161030"/>
    <x v="1"/>
  </r>
  <r>
    <s v="Area, ethnic, and cultural studies teachers, postsecondary"/>
    <s v="25-1062"/>
    <x v="6"/>
    <s v="Line item"/>
    <n v="1.3086990000000001"/>
    <n v="14.5"/>
    <n v="14.8"/>
    <n v="0"/>
    <n v="0"/>
    <n v="0.3"/>
    <n v="2.4"/>
    <s v="—"/>
    <n v="1.1000000000000001"/>
    <n v="84290"/>
    <x v="2"/>
  </r>
  <r>
    <s v="Atmospheric, earth, marine, and space sciences teachers, postsecondary"/>
    <s v="25-1051"/>
    <x v="6"/>
    <s v="Line item"/>
    <n v="1.3061560000000001"/>
    <n v="14"/>
    <n v="14.4"/>
    <n v="0"/>
    <n v="0"/>
    <n v="0.4"/>
    <n v="2.6"/>
    <s v="—"/>
    <n v="1"/>
    <n v="101390"/>
    <x v="2"/>
  </r>
  <r>
    <s v="Nuclear engineers"/>
    <s v="17-2161"/>
    <x v="9"/>
    <s v="Line item"/>
    <n v="1.3030090000000001"/>
    <n v="15.4"/>
    <n v="15.3"/>
    <n v="0"/>
    <n v="0"/>
    <n v="-0.2"/>
    <n v="-1.1000000000000001"/>
    <n v="2.4"/>
    <n v="0.8"/>
    <n v="127520"/>
    <x v="1"/>
  </r>
  <r>
    <s v="Instructional coordinators"/>
    <s v="25-9031"/>
    <x v="6"/>
    <s v="Line item"/>
    <n v="1.301855"/>
    <n v="232.6"/>
    <n v="235.5"/>
    <n v="0.1"/>
    <n v="0.1"/>
    <n v="2.9"/>
    <n v="1.3"/>
    <n v="3.3"/>
    <n v="21.9"/>
    <n v="74720"/>
    <x v="0"/>
  </r>
  <r>
    <s v="Compensation and benefits managers"/>
    <s v="11-3111"/>
    <x v="5"/>
    <s v="Line item"/>
    <n v="1.298235"/>
    <n v="20.9"/>
    <n v="20.9"/>
    <n v="0"/>
    <n v="0"/>
    <n v="0"/>
    <n v="0.2"/>
    <n v="1.4"/>
    <n v="1.5"/>
    <n v="140360"/>
    <x v="1"/>
  </r>
  <r>
    <s v="Logisticians"/>
    <s v="13-1081"/>
    <x v="1"/>
    <s v="Line item"/>
    <n v="1.2973030000000001"/>
    <n v="241"/>
    <n v="281.3"/>
    <n v="0.1"/>
    <n v="0.2"/>
    <n v="40.299999999999997"/>
    <n v="16.7"/>
    <n v="0.3"/>
    <n v="26.4"/>
    <n v="80880"/>
    <x v="1"/>
  </r>
  <r>
    <s v="Interviewers, except eligibility and loan"/>
    <s v="43-4111"/>
    <x v="4"/>
    <s v="Line item"/>
    <n v="1.297031"/>
    <n v="164.3"/>
    <n v="145.1"/>
    <n v="0.1"/>
    <n v="0.1"/>
    <n v="-19.100000000000001"/>
    <n v="-11.6"/>
    <n v="0.6"/>
    <n v="15.8"/>
    <n v="43830"/>
    <x v="3"/>
  </r>
  <r>
    <s v="Advertising and promotions managers"/>
    <s v="11-2011"/>
    <x v="5"/>
    <s v="Line item"/>
    <n v="1.294387"/>
    <n v="27"/>
    <n v="26.4"/>
    <n v="0"/>
    <n v="0"/>
    <n v="-0.6"/>
    <n v="-2.2000000000000002"/>
    <n v="20.7"/>
    <n v="2.1"/>
    <n v="126960"/>
    <x v="1"/>
  </r>
  <r>
    <s v="Tax preparers"/>
    <s v="13-2082"/>
    <x v="1"/>
    <s v="Line item"/>
    <n v="1.2937099999999999"/>
    <n v="90.6"/>
    <n v="94.7"/>
    <n v="0.1"/>
    <n v="0.1"/>
    <n v="4.0999999999999996"/>
    <n v="4.5"/>
    <n v="15.5"/>
    <n v="10.4"/>
    <n v="50560"/>
    <x v="3"/>
  </r>
  <r>
    <s v="Paralegals and legal assistants"/>
    <s v="23-2011"/>
    <x v="3"/>
    <s v="Line item"/>
    <n v="1.292055"/>
    <n v="376.2"/>
    <n v="376.8"/>
    <n v="0.2"/>
    <n v="0.2"/>
    <n v="0.6"/>
    <n v="0.2"/>
    <n v="1.4"/>
    <n v="39.299999999999997"/>
    <n v="61010"/>
    <x v="4"/>
  </r>
  <r>
    <s v="Proofreaders and copy markers"/>
    <s v="43-9081"/>
    <x v="4"/>
    <s v="Line item"/>
    <n v="1.288375"/>
    <n v="12"/>
    <n v="11.9"/>
    <n v="0"/>
    <n v="0"/>
    <n v="-0.1"/>
    <n v="-0.6"/>
    <n v="31.2"/>
    <n v="1.9"/>
    <n v="49210"/>
    <x v="1"/>
  </r>
  <r>
    <s v="Middle school teachers, except special and career/technical education"/>
    <s v="25-2022"/>
    <x v="6"/>
    <s v="Line item"/>
    <n v="1.2864450000000001"/>
    <n v="633.70000000000005"/>
    <n v="621.29999999999995"/>
    <n v="0.4"/>
    <n v="0.4"/>
    <n v="-12.4"/>
    <n v="-2"/>
    <n v="0.6"/>
    <n v="40.5"/>
    <n v="62970"/>
    <x v="1"/>
  </r>
  <r>
    <s v="Public relations specialists"/>
    <s v="27-3031"/>
    <x v="11"/>
    <s v="Line item"/>
    <n v="1.2849269999999999"/>
    <n v="315.89999999999998"/>
    <n v="331"/>
    <n v="0.2"/>
    <n v="0.2"/>
    <n v="15"/>
    <n v="4.8"/>
    <n v="1.9"/>
    <n v="27.6"/>
    <n v="69780"/>
    <x v="1"/>
  </r>
  <r>
    <s v="Training and development managers"/>
    <s v="11-3131"/>
    <x v="5"/>
    <s v="Line item"/>
    <n v="1.2844230000000001"/>
    <n v="46.4"/>
    <n v="49.2"/>
    <n v="0"/>
    <n v="0"/>
    <n v="2.7"/>
    <n v="5.8"/>
    <s v="—"/>
    <n v="3.8"/>
    <n v="127090"/>
    <x v="1"/>
  </r>
  <r>
    <s v="Civil engineers"/>
    <s v="17-2051"/>
    <x v="9"/>
    <s v="Line item"/>
    <n v="1.282867"/>
    <n v="368.9"/>
    <n v="387.5"/>
    <n v="0.2"/>
    <n v="0.2"/>
    <n v="18.5"/>
    <n v="5"/>
    <n v="1.3"/>
    <n v="23.6"/>
    <n v="99590"/>
    <x v="1"/>
  </r>
  <r>
    <s v="Clergy"/>
    <s v="21-2011"/>
    <x v="8"/>
    <s v="Line item"/>
    <n v="1.282559"/>
    <n v="262"/>
    <n v="264.60000000000002"/>
    <n v="0.2"/>
    <n v="0.2"/>
    <n v="2.6"/>
    <n v="1"/>
    <n v="5.7"/>
    <n v="23"/>
    <n v="60820"/>
    <x v="1"/>
  </r>
  <r>
    <s v="Title examiners, abstractors, and searchers"/>
    <s v="23-2093"/>
    <x v="3"/>
    <s v="Line item"/>
    <n v="1.279954"/>
    <n v="57.4"/>
    <n v="58.5"/>
    <n v="0"/>
    <n v="0"/>
    <n v="1.1000000000000001"/>
    <n v="2"/>
    <n v="8.9"/>
    <n v="5.4"/>
    <n v="54980"/>
    <x v="3"/>
  </r>
  <r>
    <s v="Medical scientists, except epidemiologists"/>
    <s v="19-1042"/>
    <x v="7"/>
    <s v="Line item"/>
    <n v="1.279928"/>
    <n v="165.3"/>
    <n v="179.6"/>
    <n v="0.1"/>
    <n v="0.1"/>
    <n v="14.3"/>
    <n v="8.6999999999999993"/>
    <n v="0.6"/>
    <n v="9.6"/>
    <n v="100590"/>
    <x v="2"/>
  </r>
  <r>
    <s v="Computer science teachers, postsecondary"/>
    <s v="25-1021"/>
    <x v="6"/>
    <s v="Line item"/>
    <n v="1.2777780000000001"/>
    <n v="44.8"/>
    <n v="47.2"/>
    <n v="0"/>
    <n v="0"/>
    <n v="2.4"/>
    <n v="5.3"/>
    <n v="0.2"/>
    <n v="3.5"/>
    <n v="96690"/>
    <x v="2"/>
  </r>
  <r>
    <s v="Claims adjusters, examiners, and investigators"/>
    <s v="13-1031"/>
    <x v="1"/>
    <s v="Line item"/>
    <n v="1.274024"/>
    <n v="356.1"/>
    <n v="337.9"/>
    <n v="0.2"/>
    <n v="0.2"/>
    <n v="-18.2"/>
    <n v="-5.0999999999999996"/>
    <n v="2.2000000000000002"/>
    <n v="21.1"/>
    <n v="76790"/>
    <x v="3"/>
  </r>
  <r>
    <s v="Bill and account collectors"/>
    <s v="43-3011"/>
    <x v="4"/>
    <s v="Line item"/>
    <n v="1.2719910000000001"/>
    <n v="166.9"/>
    <n v="149.4"/>
    <n v="0.1"/>
    <n v="0.1"/>
    <n v="-17.5"/>
    <n v="-10.5"/>
    <n v="0.2"/>
    <n v="13.7"/>
    <n v="46040"/>
    <x v="3"/>
  </r>
  <r>
    <s v="Sales managers"/>
    <s v="11-2022"/>
    <x v="5"/>
    <s v="Line item"/>
    <n v="1.2662800000000001"/>
    <n v="619.5"/>
    <n v="648.5"/>
    <n v="0.4"/>
    <n v="0.4"/>
    <n v="29"/>
    <n v="4.7"/>
    <n v="0.9"/>
    <n v="49"/>
    <n v="138060"/>
    <x v="1"/>
  </r>
  <r>
    <s v="Forestry and conservation science teachers, postsecondary"/>
    <s v="25-1043"/>
    <x v="6"/>
    <s v="Line item"/>
    <n v="1.260278"/>
    <n v="1.6"/>
    <n v="1.7"/>
    <n v="0"/>
    <n v="0"/>
    <n v="0.1"/>
    <n v="4"/>
    <s v="—"/>
    <n v="0.1"/>
    <n v="100830"/>
    <x v="2"/>
  </r>
  <r>
    <s v="Medical and health services managers"/>
    <s v="11-9111"/>
    <x v="5"/>
    <s v="Line item"/>
    <n v="1.260259"/>
    <n v="616.20000000000005"/>
    <n v="759.1"/>
    <n v="0.4"/>
    <n v="0.4"/>
    <n v="142.9"/>
    <n v="23.2"/>
    <n v="5.0999999999999996"/>
    <n v="62.1"/>
    <n v="117960"/>
    <x v="1"/>
  </r>
  <r>
    <s v="Payroll and timekeeping clerks"/>
    <s v="43-3051"/>
    <x v="4"/>
    <s v="Line item"/>
    <n v="1.2576320000000001"/>
    <n v="161.1"/>
    <n v="134.19999999999999"/>
    <n v="0.1"/>
    <n v="0.1"/>
    <n v="-27"/>
    <n v="-16.7"/>
    <n v="0.9"/>
    <n v="13"/>
    <n v="55290"/>
    <x v="3"/>
  </r>
  <r>
    <s v="Securities, commodities, and financial services sales agents"/>
    <s v="41-3031"/>
    <x v="10"/>
    <s v="Line item"/>
    <n v="1.2562979999999999"/>
    <n v="514.5"/>
    <n v="531.6"/>
    <n v="0.3"/>
    <n v="0.3"/>
    <n v="17.100000000000001"/>
    <n v="3.3"/>
    <n v="6.6"/>
    <n v="38.1"/>
    <n v="78140"/>
    <x v="1"/>
  </r>
  <r>
    <s v="Petroleum engineers"/>
    <s v="17-2171"/>
    <x v="9"/>
    <s v="Line item"/>
    <n v="1.247779"/>
    <n v="19.600000000000001"/>
    <n v="19.8"/>
    <n v="0"/>
    <n v="0"/>
    <n v="0.2"/>
    <n v="1.3"/>
    <n v="1.7"/>
    <n v="1.2"/>
    <n v="141280"/>
    <x v="1"/>
  </r>
  <r>
    <s v="Fundraisers"/>
    <s v="13-1131"/>
    <x v="1"/>
    <s v="Line item"/>
    <n v="1.242567"/>
    <n v="134.4"/>
    <n v="140.19999999999999"/>
    <n v="0.1"/>
    <n v="0.1"/>
    <n v="5.8"/>
    <n v="4.3"/>
    <n v="1.9"/>
    <n v="10.199999999999999"/>
    <n v="66490"/>
    <x v="1"/>
  </r>
  <r>
    <s v="Insurance claims and policy processing clerks"/>
    <s v="43-9041"/>
    <x v="4"/>
    <s v="Line item"/>
    <n v="1.2402010000000001"/>
    <n v="256.7"/>
    <n v="247.2"/>
    <n v="0.2"/>
    <n v="0.1"/>
    <n v="-9.5"/>
    <n v="-3.7"/>
    <n v="0.5"/>
    <n v="20.3"/>
    <n v="48450"/>
    <x v="3"/>
  </r>
  <r>
    <s v="Dispatchers, except police, fire, and ambulance"/>
    <s v="43-5032"/>
    <x v="4"/>
    <s v="Line item"/>
    <n v="1.234523"/>
    <n v="218.7"/>
    <n v="216.7"/>
    <n v="0.1"/>
    <n v="0.1"/>
    <n v="-2.1"/>
    <n v="-0.9"/>
    <n v="2.7"/>
    <n v="18.5"/>
    <n v="48880"/>
    <x v="3"/>
  </r>
  <r>
    <s v="Biological science teachers, postsecondary"/>
    <s v="25-1042"/>
    <x v="6"/>
    <s v="Line item"/>
    <n v="1.2276769999999999"/>
    <n v="66"/>
    <n v="70.8"/>
    <n v="0"/>
    <n v="0"/>
    <n v="4.8"/>
    <n v="7.3"/>
    <n v="0.2"/>
    <n v="5.4"/>
    <n v="83460"/>
    <x v="2"/>
  </r>
  <r>
    <s v="Urban and regional planners"/>
    <s v="19-3051"/>
    <x v="7"/>
    <s v="Line item"/>
    <n v="1.2275160000000001"/>
    <n v="44.7"/>
    <n v="46.2"/>
    <n v="0"/>
    <n v="0"/>
    <n v="1.5"/>
    <n v="3.4"/>
    <s v="—"/>
    <n v="3.4"/>
    <n v="83720"/>
    <x v="0"/>
  </r>
  <r>
    <s v="Eligibility interviewers, government programs"/>
    <s v="43-4061"/>
    <x v="4"/>
    <s v="Line item"/>
    <n v="1.226286"/>
    <n v="166.8"/>
    <n v="168.5"/>
    <n v="0.1"/>
    <n v="0.1"/>
    <n v="1.7"/>
    <n v="1"/>
    <n v="0.3"/>
    <n v="14"/>
    <n v="51500"/>
    <x v="3"/>
  </r>
  <r>
    <s v="Architecture teachers, postsecondary"/>
    <s v="25-1031"/>
    <x v="6"/>
    <s v="Line item"/>
    <n v="1.2220219999999999"/>
    <n v="11.6"/>
    <n v="11.9"/>
    <n v="0"/>
    <n v="0"/>
    <n v="0.2"/>
    <n v="2"/>
    <s v="—"/>
    <n v="0.9"/>
    <n v="101480"/>
    <x v="2"/>
  </r>
  <r>
    <s v="Medical secretaries and administrative assistants"/>
    <s v="43-6013"/>
    <x v="4"/>
    <s v="Line item"/>
    <n v="1.2179819999999999"/>
    <n v="850"/>
    <n v="885.3"/>
    <n v="0.5"/>
    <n v="0.5"/>
    <n v="35.299999999999997"/>
    <n v="4.2"/>
    <n v="0"/>
    <n v="85.9"/>
    <n v="44640"/>
    <x v="3"/>
  </r>
  <r>
    <s v="Property, real estate, and community association managers"/>
    <s v="11-9141"/>
    <x v="5"/>
    <s v="Line item"/>
    <n v="1.2153959999999999"/>
    <n v="466.1"/>
    <n v="483.1"/>
    <n v="0.3"/>
    <n v="0.3"/>
    <n v="17"/>
    <n v="3.6"/>
    <n v="34"/>
    <n v="39"/>
    <n v="66700"/>
    <x v="3"/>
  </r>
  <r>
    <s v="Family and consumer sciences teachers, postsecondary"/>
    <s v="25-1192"/>
    <x v="6"/>
    <s v="Line item"/>
    <n v="1.211652"/>
    <n v="3.2"/>
    <n v="3.3"/>
    <n v="0"/>
    <n v="0"/>
    <n v="0.1"/>
    <n v="3.4"/>
    <s v="—"/>
    <n v="0.2"/>
    <n v="77280"/>
    <x v="2"/>
  </r>
  <r>
    <s v="Directors, religious activities and education"/>
    <s v="21-2021"/>
    <x v="8"/>
    <s v="Line item"/>
    <n v="1.2109220000000001"/>
    <n v="138.9"/>
    <n v="141.80000000000001"/>
    <n v="0.1"/>
    <n v="0.1"/>
    <n v="2.9"/>
    <n v="2.1"/>
    <n v="0.2"/>
    <n v="13.8"/>
    <n v="54840"/>
    <x v="1"/>
  </r>
  <r>
    <s v="Social science research assistants"/>
    <s v="19-4061"/>
    <x v="7"/>
    <s v="Line item"/>
    <n v="1.2046520000000001"/>
    <n v="40.6"/>
    <n v="42.3"/>
    <n v="0"/>
    <n v="0"/>
    <n v="1.8"/>
    <n v="4.4000000000000004"/>
    <n v="4.9000000000000004"/>
    <n v="5.2"/>
    <n v="58040"/>
    <x v="1"/>
  </r>
  <r>
    <s v="Training and development specialists"/>
    <s v="13-1151"/>
    <x v="1"/>
    <s v="Line item"/>
    <n v="1.1984090000000001"/>
    <n v="452.3"/>
    <n v="501"/>
    <n v="0.3"/>
    <n v="0.3"/>
    <n v="48.7"/>
    <n v="10.8"/>
    <n v="0.5"/>
    <n v="43.9"/>
    <n v="65850"/>
    <x v="1"/>
  </r>
  <r>
    <s v="Education teachers, postsecondary"/>
    <s v="25-1081"/>
    <x v="6"/>
    <s v="Line item"/>
    <n v="1.1929879999999999"/>
    <n v="74.900000000000006"/>
    <n v="76.5"/>
    <n v="0"/>
    <n v="0"/>
    <n v="1.6"/>
    <n v="2.1"/>
    <n v="0.3"/>
    <n v="5.6"/>
    <n v="72090"/>
    <x v="2"/>
  </r>
  <r>
    <s v="Secondary school teachers, except special and career/technical education"/>
    <s v="25-2031"/>
    <x v="6"/>
    <s v="Line item"/>
    <n v="1.191325"/>
    <n v="1094.5"/>
    <n v="1076.7"/>
    <n v="0.6"/>
    <n v="0.6"/>
    <n v="-17.8"/>
    <n v="-1.6"/>
    <n v="0"/>
    <n v="66.2"/>
    <n v="64580"/>
    <x v="1"/>
  </r>
  <r>
    <s v="Technical writers"/>
    <s v="27-3042"/>
    <x v="11"/>
    <s v="Line item"/>
    <n v="1.1840010000000001"/>
    <n v="56.4"/>
    <n v="56.9"/>
    <n v="0"/>
    <n v="0"/>
    <n v="0.5"/>
    <n v="0.9"/>
    <s v="—"/>
    <n v="4.5"/>
    <n v="91670"/>
    <x v="1"/>
  </r>
  <r>
    <s v="New accounts clerks"/>
    <s v="43-4141"/>
    <x v="4"/>
    <s v="Line item"/>
    <n v="1.174998"/>
    <n v="38.9"/>
    <n v="33.799999999999997"/>
    <n v="0"/>
    <n v="0"/>
    <n v="-5.2"/>
    <n v="-13.2"/>
    <s v="—"/>
    <n v="2.2999999999999998"/>
    <n v="46610"/>
    <x v="3"/>
  </r>
  <r>
    <s v="Court, municipal, and license clerks"/>
    <s v="43-4031"/>
    <x v="4"/>
    <s v="Line item"/>
    <n v="1.1662669999999999"/>
    <n v="180.4"/>
    <n v="185.9"/>
    <n v="0.1"/>
    <n v="0.1"/>
    <n v="5.5"/>
    <n v="3"/>
    <n v="1"/>
    <n v="18.5"/>
    <n v="47700"/>
    <x v="3"/>
  </r>
  <r>
    <s v="Recreation and fitness studies teachers, postsecondary"/>
    <s v="25-1193"/>
    <x v="6"/>
    <s v="Line item"/>
    <n v="1.16489"/>
    <n v="15.4"/>
    <n v="15.7"/>
    <n v="0"/>
    <n v="0"/>
    <n v="0.4"/>
    <n v="2.4"/>
    <s v="—"/>
    <n v="1.1000000000000001"/>
    <n v="75890"/>
    <x v="2"/>
  </r>
  <r>
    <s v="Advertising sales agents"/>
    <s v="41-3011"/>
    <x v="10"/>
    <s v="Line item"/>
    <n v="1.162588"/>
    <n v="103.7"/>
    <n v="97.1"/>
    <n v="0.1"/>
    <n v="0.1"/>
    <n v="-6.6"/>
    <n v="-6.4"/>
    <n v="5.3"/>
    <n v="9.3000000000000007"/>
    <n v="61460"/>
    <x v="3"/>
  </r>
  <r>
    <s v="Social and community service managers"/>
    <s v="11-9151"/>
    <x v="5"/>
    <s v="Line item"/>
    <n v="1.156153"/>
    <n v="219.8"/>
    <n v="233.9"/>
    <n v="0.1"/>
    <n v="0.1"/>
    <n v="14.1"/>
    <n v="6.4"/>
    <n v="5.6"/>
    <n v="18.600000000000001"/>
    <n v="78240"/>
    <x v="1"/>
  </r>
  <r>
    <s v="Air traffic controllers"/>
    <s v="53-2021"/>
    <x v="12"/>
    <s v="Line item"/>
    <n v="1.152798"/>
    <n v="24.1"/>
    <n v="24.4"/>
    <n v="0"/>
    <n v="0"/>
    <n v="0.3"/>
    <n v="1.2"/>
    <s v="—"/>
    <n v="2.2000000000000002"/>
    <n v="144580"/>
    <x v="4"/>
  </r>
  <r>
    <s v="Correspondence clerks"/>
    <s v="43-4021"/>
    <x v="4"/>
    <s v="Line item"/>
    <n v="1.1497580000000001"/>
    <n v="6.9"/>
    <n v="6.5"/>
    <n v="0"/>
    <n v="0"/>
    <n v="-0.4"/>
    <n v="-5.6"/>
    <n v="5.0999999999999996"/>
    <n v="0.7"/>
    <n v="46740"/>
    <x v="3"/>
  </r>
  <r>
    <s v="Real estate brokers"/>
    <s v="41-9021"/>
    <x v="10"/>
    <s v="Line item"/>
    <n v="1.149681"/>
    <n v="111.3"/>
    <n v="115"/>
    <n v="0.1"/>
    <n v="0.1"/>
    <n v="3.7"/>
    <n v="3.3"/>
    <n v="54.5"/>
    <n v="9.6999999999999993"/>
    <n v="72280"/>
    <x v="3"/>
  </r>
  <r>
    <s v="Speech-language pathologists"/>
    <s v="29-1127"/>
    <x v="0"/>
    <s v="Line item"/>
    <n v="1.1462669999999999"/>
    <n v="187.4"/>
    <n v="215.5"/>
    <n v="0.1"/>
    <n v="0.1"/>
    <n v="28.2"/>
    <n v="15"/>
    <n v="3.3"/>
    <n v="13.3"/>
    <n v="95410"/>
    <x v="0"/>
  </r>
  <r>
    <s v="Sales engineers"/>
    <s v="41-9031"/>
    <x v="10"/>
    <s v="Line item"/>
    <n v="1.145416"/>
    <n v="56.8"/>
    <n v="59.9"/>
    <n v="0"/>
    <n v="0"/>
    <n v="3.1"/>
    <n v="5.5"/>
    <s v="—"/>
    <n v="5"/>
    <n v="121520"/>
    <x v="1"/>
  </r>
  <r>
    <s v="Brokerage clerks"/>
    <s v="43-4011"/>
    <x v="4"/>
    <s v="Line item"/>
    <n v="1.1448769999999999"/>
    <n v="40.799999999999997"/>
    <n v="36.9"/>
    <n v="0"/>
    <n v="0"/>
    <n v="-3.9"/>
    <n v="-9.5"/>
    <s v="—"/>
    <n v="4.0999999999999996"/>
    <n v="62940"/>
    <x v="3"/>
  </r>
  <r>
    <s v="Computer hardware engineers"/>
    <s v="17-2061"/>
    <x v="9"/>
    <s v="Line item"/>
    <n v="1.141812"/>
    <n v="76.8"/>
    <n v="82.4"/>
    <n v="0"/>
    <n v="0"/>
    <n v="5.6"/>
    <n v="7.3"/>
    <n v="1.1000000000000001"/>
    <n v="4.7"/>
    <n v="155020"/>
    <x v="1"/>
  </r>
  <r>
    <s v="Physical scientists, all other"/>
    <s v="19-2099"/>
    <x v="7"/>
    <s v="Line item"/>
    <n v="1.1401570000000001"/>
    <n v="31.9"/>
    <n v="32.1"/>
    <n v="0"/>
    <n v="0"/>
    <n v="0.2"/>
    <n v="0.6"/>
    <n v="17.5"/>
    <n v="2"/>
    <n v="117960"/>
    <x v="1"/>
  </r>
  <r>
    <s v="Industrial engineers"/>
    <s v="17-2112"/>
    <x v="9"/>
    <s v="Line item"/>
    <n v="1.1378699999999999"/>
    <n v="351.1"/>
    <n v="389.6"/>
    <n v="0.2"/>
    <n v="0.2"/>
    <n v="38.5"/>
    <n v="11"/>
    <n v="0.2"/>
    <n v="25.2"/>
    <n v="101140"/>
    <x v="1"/>
  </r>
  <r>
    <s v="Travel agents"/>
    <s v="41-3041"/>
    <x v="10"/>
    <s v="Line item"/>
    <n v="1.1335980000000001"/>
    <n v="65.7"/>
    <n v="67.2"/>
    <n v="0"/>
    <n v="0"/>
    <n v="1.4"/>
    <n v="2.2000000000000002"/>
    <n v="11.2"/>
    <n v="7.1"/>
    <n v="48450"/>
    <x v="3"/>
  </r>
  <r>
    <s v="Editors"/>
    <s v="27-3041"/>
    <x v="11"/>
    <s v="Line item"/>
    <n v="1.1282209999999999"/>
    <n v="115.8"/>
    <n v="116.5"/>
    <n v="0.1"/>
    <n v="0.1"/>
    <n v="0.7"/>
    <n v="0.6"/>
    <n v="13.2"/>
    <n v="9.8000000000000007"/>
    <n v="75260"/>
    <x v="1"/>
  </r>
  <r>
    <s v="Electrical engineers"/>
    <s v="17-2071"/>
    <x v="9"/>
    <s v="Line item"/>
    <n v="1.126725"/>
    <n v="192"/>
    <n v="205.7"/>
    <n v="0.1"/>
    <n v="0.1"/>
    <n v="13.8"/>
    <n v="7.2"/>
    <n v="1"/>
    <n v="11.7"/>
    <n v="111910"/>
    <x v="1"/>
  </r>
  <r>
    <s v="Interior designers"/>
    <s v="27-1025"/>
    <x v="11"/>
    <s v="Line item"/>
    <n v="1.12168"/>
    <n v="87.1"/>
    <n v="89.9"/>
    <n v="0.1"/>
    <n v="0.1"/>
    <n v="2.8"/>
    <n v="3.2"/>
    <n v="21.2"/>
    <n v="7.8"/>
    <n v="63490"/>
    <x v="1"/>
  </r>
  <r>
    <s v="Mental health and substance abuse social workers"/>
    <s v="21-1023"/>
    <x v="8"/>
    <s v="Line item"/>
    <n v="1.119216"/>
    <n v="136.80000000000001"/>
    <n v="150.1"/>
    <n v="0.1"/>
    <n v="0.1"/>
    <n v="13.3"/>
    <n v="9.6999999999999993"/>
    <n v="4.8"/>
    <n v="13.5"/>
    <n v="60060"/>
    <x v="0"/>
  </r>
  <r>
    <s v="Telemarketers"/>
    <s v="41-9041"/>
    <x v="10"/>
    <s v="Line item"/>
    <n v="1.1181289999999999"/>
    <n v="67.400000000000006"/>
    <n v="52.5"/>
    <n v="0"/>
    <n v="0"/>
    <n v="-14.9"/>
    <n v="-22.1"/>
    <n v="0.6"/>
    <n v="6.5"/>
    <n v="34410"/>
    <x v="5"/>
  </r>
  <r>
    <s v="Interpreters and translators"/>
    <s v="27-3091"/>
    <x v="11"/>
    <s v="Line item"/>
    <n v="1.1113189999999999"/>
    <n v="75.3"/>
    <n v="76.599999999999994"/>
    <n v="0"/>
    <n v="0"/>
    <n v="1.3"/>
    <n v="1.7"/>
    <n v="27"/>
    <n v="6.9"/>
    <n v="59440"/>
    <x v="1"/>
  </r>
  <r>
    <s v="Door-to-door sales workers, news and street vendors, and related workers"/>
    <s v="41-9091"/>
    <x v="10"/>
    <s v="Line item"/>
    <n v="1.1071009999999999"/>
    <n v="25.3"/>
    <n v="22.8"/>
    <n v="0"/>
    <n v="0"/>
    <n v="-2.5"/>
    <n v="-10"/>
    <n v="81.8"/>
    <n v="2.7"/>
    <n v="34530"/>
    <x v="5"/>
  </r>
  <r>
    <s v="Secretaries and administrative assistants, except legal, medical, and executive"/>
    <s v="43-6014"/>
    <x v="4"/>
    <s v="Line item"/>
    <n v="1.099056"/>
    <n v="1944"/>
    <n v="1913.2"/>
    <n v="1.1000000000000001"/>
    <n v="1.1000000000000001"/>
    <n v="-30.8"/>
    <n v="-1.6"/>
    <n v="1.9"/>
    <n v="202.8"/>
    <n v="46290"/>
    <x v="3"/>
  </r>
  <r>
    <s v="Historians"/>
    <s v="19-3093"/>
    <x v="7"/>
    <s v="Line item"/>
    <n v="1.098921"/>
    <n v="3.4"/>
    <n v="3.5"/>
    <n v="0"/>
    <n v="0"/>
    <n v="0.1"/>
    <n v="2.2000000000000002"/>
    <n v="2"/>
    <n v="0.3"/>
    <n v="74050"/>
    <x v="0"/>
  </r>
  <r>
    <s v="Executive secretaries and executive administrative assistants"/>
    <s v="43-6011"/>
    <x v="4"/>
    <s v="Line item"/>
    <n v="1.0796429999999999"/>
    <n v="502.8"/>
    <n v="494.9"/>
    <n v="0.3"/>
    <n v="0.3"/>
    <n v="-7.9"/>
    <n v="-1.6"/>
    <n v="0.2"/>
    <n v="50"/>
    <n v="74260"/>
    <x v="3"/>
  </r>
  <r>
    <s v="Agents and business managers of artists, performers, and athletes"/>
    <s v="13-1011"/>
    <x v="1"/>
    <s v="Line item"/>
    <n v="1.068559"/>
    <n v="21.4"/>
    <n v="23.2"/>
    <n v="0"/>
    <n v="0"/>
    <n v="1.9"/>
    <n v="8.6999999999999993"/>
    <n v="26.1"/>
    <n v="2.2000000000000002"/>
    <n v="96310"/>
    <x v="1"/>
  </r>
  <r>
    <s v="Medical transcriptionists"/>
    <s v="31-9094"/>
    <x v="13"/>
    <s v="Line item"/>
    <n v="1.0625899999999999"/>
    <n v="43.9"/>
    <n v="41.8"/>
    <n v="0"/>
    <n v="0"/>
    <n v="-2.2000000000000002"/>
    <n v="-4.9000000000000004"/>
    <n v="0.8"/>
    <n v="7.4"/>
    <n v="37550"/>
    <x v="6"/>
  </r>
  <r>
    <s v="Computer and information systems managers"/>
    <s v="11-3021"/>
    <x v="5"/>
    <s v="Line item"/>
    <n v="1.0598529999999999"/>
    <n v="667.1"/>
    <n v="768.7"/>
    <n v="0.4"/>
    <n v="0.4"/>
    <n v="101.6"/>
    <n v="15.2"/>
    <n v="0.9"/>
    <n v="55.6"/>
    <n v="171200"/>
    <x v="1"/>
  </r>
  <r>
    <s v="Education administrators, kindergarten through secondary"/>
    <s v="11-9032"/>
    <x v="5"/>
    <s v="Line item"/>
    <n v="1.0488109999999999"/>
    <n v="333.3"/>
    <n v="328.1"/>
    <n v="0.2"/>
    <n v="0.2"/>
    <n v="-5.0999999999999996"/>
    <n v="-1.5"/>
    <n v="1.2"/>
    <n v="20.8"/>
    <n v="104070"/>
    <x v="0"/>
  </r>
  <r>
    <s v="Business operations specialists, all other"/>
    <s v="13-1199"/>
    <x v="1"/>
    <s v="Line item"/>
    <n v="1.047687"/>
    <n v="1205.7"/>
    <n v="1242"/>
    <n v="0.7"/>
    <n v="0.7"/>
    <n v="36.299999999999997"/>
    <n v="3"/>
    <n v="1.4"/>
    <n v="108.2"/>
    <n v="81270"/>
    <x v="1"/>
  </r>
  <r>
    <s v="Architects, except landscape and naval"/>
    <s v="17-1011"/>
    <x v="9"/>
    <s v="Line item"/>
    <n v="1.047142"/>
    <n v="123.6"/>
    <n v="128.4"/>
    <n v="0.1"/>
    <n v="0.1"/>
    <n v="4.8"/>
    <n v="3.9"/>
    <n v="10.5"/>
    <n v="7.8"/>
    <n v="96690"/>
    <x v="1"/>
  </r>
  <r>
    <s v="Physics teachers, postsecondary"/>
    <s v="25-1054"/>
    <x v="6"/>
    <s v="Line item"/>
    <n v="1.0441910000000001"/>
    <n v="17.100000000000001"/>
    <n v="17.5"/>
    <n v="0"/>
    <n v="0"/>
    <n v="0.4"/>
    <n v="2.5"/>
    <s v="—"/>
    <n v="1.3"/>
    <n v="97360"/>
    <x v="2"/>
  </r>
  <r>
    <s v="Animal scientists"/>
    <s v="19-1011"/>
    <x v="7"/>
    <s v="Line item"/>
    <n v="1.041358"/>
    <n v="2.8"/>
    <n v="2.9"/>
    <n v="0"/>
    <n v="0"/>
    <n v="0.2"/>
    <n v="5.8"/>
    <n v="2.2999999999999998"/>
    <n v="0.2"/>
    <n v="79120"/>
    <x v="1"/>
  </r>
  <r>
    <s v="Bookkeeping, accounting, and auditing clerks"/>
    <s v="43-3031"/>
    <x v="4"/>
    <s v="Line item"/>
    <n v="1.039749"/>
    <n v="1613.4"/>
    <n v="1519.1"/>
    <n v="0.9"/>
    <n v="0.9"/>
    <n v="-94.3"/>
    <n v="-5.8"/>
    <n v="5.2"/>
    <n v="170"/>
    <n v="49210"/>
    <x v="7"/>
  </r>
  <r>
    <s v="First-line supervisors of office and administrative support workers"/>
    <s v="43-1011"/>
    <x v="4"/>
    <s v="Line item"/>
    <n v="1.0386880000000001"/>
    <n v="1558.4"/>
    <n v="1554.4"/>
    <n v="0.9"/>
    <n v="0.9"/>
    <n v="-3.9"/>
    <n v="-0.3"/>
    <n v="0.7"/>
    <n v="144.5"/>
    <n v="66140"/>
    <x v="3"/>
  </r>
  <r>
    <s v="Materials engineers"/>
    <s v="17-2131"/>
    <x v="9"/>
    <s v="Line item"/>
    <n v="1.0372779999999999"/>
    <n v="23"/>
    <n v="24.3"/>
    <n v="0"/>
    <n v="0"/>
    <n v="1.3"/>
    <n v="5.7"/>
    <s v="—"/>
    <n v="1.5"/>
    <n v="108310"/>
    <x v="1"/>
  </r>
  <r>
    <s v="Landscape architects"/>
    <s v="17-1012"/>
    <x v="9"/>
    <s v="Line item"/>
    <n v="1.0343880000000001"/>
    <n v="21.8"/>
    <n v="22.6"/>
    <n v="0"/>
    <n v="0"/>
    <n v="0.8"/>
    <n v="3.5"/>
    <n v="10.4"/>
    <n v="1.7"/>
    <n v="79660"/>
    <x v="1"/>
  </r>
  <r>
    <s v="Materials scientists"/>
    <s v="19-2032"/>
    <x v="7"/>
    <s v="Line item"/>
    <n v="1.0327569999999999"/>
    <n v="8.6999999999999993"/>
    <n v="9.1"/>
    <n v="0"/>
    <n v="0"/>
    <n v="0.4"/>
    <n v="4.9000000000000004"/>
    <n v="1.1000000000000001"/>
    <n v="0.6"/>
    <n v="104160"/>
    <x v="1"/>
  </r>
  <r>
    <s v="Emergency management directors"/>
    <s v="11-9161"/>
    <x v="5"/>
    <s v="Line item"/>
    <n v="1.0307679999999999"/>
    <n v="13.2"/>
    <n v="13.6"/>
    <n v="0"/>
    <n v="0"/>
    <n v="0.4"/>
    <n v="3"/>
    <s v="—"/>
    <n v="1"/>
    <n v="86130"/>
    <x v="1"/>
  </r>
  <r>
    <s v="Construction managers"/>
    <s v="11-9021"/>
    <x v="5"/>
    <s v="Line item"/>
    <n v="1.029139"/>
    <n v="550.29999999999995"/>
    <n v="598.4"/>
    <n v="0.3"/>
    <n v="0.3"/>
    <n v="48.1"/>
    <n v="8.6999999999999993"/>
    <n v="35.799999999999997"/>
    <n v="46.8"/>
    <n v="106980"/>
    <x v="1"/>
  </r>
  <r>
    <s v="Art directors"/>
    <s v="27-1011"/>
    <x v="11"/>
    <s v="Line item"/>
    <n v="1.02251"/>
    <n v="135"/>
    <n v="140.69999999999999"/>
    <n v="0.1"/>
    <n v="0.1"/>
    <n v="5.7"/>
    <n v="4.2"/>
    <n v="61.9"/>
    <n v="12.3"/>
    <n v="111040"/>
    <x v="1"/>
  </r>
  <r>
    <s v="Telephone operators"/>
    <s v="43-2021"/>
    <x v="4"/>
    <s v="Line item"/>
    <n v="1.019712"/>
    <n v="4"/>
    <n v="2.9"/>
    <n v="0"/>
    <n v="0"/>
    <n v="-1.1000000000000001"/>
    <n v="-27.5"/>
    <s v="—"/>
    <n v="0.3"/>
    <n v="39130"/>
    <x v="3"/>
  </r>
  <r>
    <s v="Legal secretaries and administrative assistants"/>
    <s v="43-6012"/>
    <x v="4"/>
    <s v="Line item"/>
    <n v="1.0145409999999999"/>
    <n v="156.30000000000001"/>
    <n v="147.30000000000001"/>
    <n v="0.1"/>
    <n v="0.1"/>
    <n v="-9"/>
    <n v="-5.8"/>
    <n v="0.5"/>
    <n v="19.600000000000001"/>
    <n v="54140"/>
    <x v="3"/>
  </r>
  <r>
    <s v="Environmental scientists and specialists, including health"/>
    <s v="19-2041"/>
    <x v="7"/>
    <s v="Line item"/>
    <n v="1.014113"/>
    <n v="90.3"/>
    <n v="94.3"/>
    <n v="0.1"/>
    <n v="0.1"/>
    <n v="4"/>
    <n v="4.4000000000000004"/>
    <n v="1.5"/>
    <n v="8.5"/>
    <n v="80060"/>
    <x v="1"/>
  </r>
  <r>
    <s v="Receptionists and information clerks"/>
    <s v="43-4171"/>
    <x v="4"/>
    <s v="Line item"/>
    <n v="1.0131859999999999"/>
    <n v="1007.2"/>
    <n v="1007.6"/>
    <n v="0.6"/>
    <n v="0.6"/>
    <n v="0.3"/>
    <n v="0"/>
    <n v="0.6"/>
    <n v="128.5"/>
    <n v="37230"/>
    <x v="3"/>
  </r>
  <r>
    <s v="Biological scientists, all other"/>
    <s v="19-1029"/>
    <x v="7"/>
    <s v="Line item"/>
    <n v="1.0101929999999999"/>
    <n v="63.7"/>
    <n v="64.5"/>
    <n v="0"/>
    <n v="0"/>
    <n v="0.8"/>
    <n v="1.2"/>
    <n v="1"/>
    <n v="4.8"/>
    <n v="93330"/>
    <x v="1"/>
  </r>
  <r>
    <s v="Mechanical engineers"/>
    <s v="17-2141"/>
    <x v="9"/>
    <s v="Line item"/>
    <n v="1.0047090000000001"/>
    <n v="293.10000000000002"/>
    <n v="319.60000000000002"/>
    <n v="0.2"/>
    <n v="0.2"/>
    <n v="26.5"/>
    <n v="9.1"/>
    <n v="1.2"/>
    <n v="18.100000000000001"/>
    <n v="102320"/>
    <x v="1"/>
  </r>
  <r>
    <s v="Health and safety engineers, except mining safety engineers and inspectors"/>
    <s v="17-2111"/>
    <x v="9"/>
    <s v="Line item"/>
    <n v="0.99489349999999999"/>
    <n v="23.8"/>
    <n v="24.9"/>
    <n v="0"/>
    <n v="0"/>
    <n v="1.1000000000000001"/>
    <n v="4.4000000000000004"/>
    <s v="—"/>
    <n v="1.5"/>
    <n v="109660"/>
    <x v="1"/>
  </r>
  <r>
    <s v="Office clerks, general"/>
    <s v="43-9061"/>
    <x v="4"/>
    <s v="Line item"/>
    <n v="0.98889859999999996"/>
    <n v="2646"/>
    <n v="2468.1999999999998"/>
    <n v="1.6"/>
    <n v="1.4"/>
    <n v="-177.8"/>
    <n v="-6.7"/>
    <n v="0.5"/>
    <n v="282.39999999999998"/>
    <n v="43630"/>
    <x v="3"/>
  </r>
  <r>
    <s v="Writers and authors"/>
    <s v="27-3043"/>
    <x v="11"/>
    <s v="Line item"/>
    <n v="0.98792740000000001"/>
    <n v="135.4"/>
    <n v="140.30000000000001"/>
    <n v="0.1"/>
    <n v="0.1"/>
    <n v="4.9000000000000004"/>
    <n v="3.6"/>
    <n v="62.9"/>
    <n v="13.4"/>
    <n v="72270"/>
    <x v="1"/>
  </r>
  <r>
    <s v="Bioengineers and biomedical engineers"/>
    <s v="17-2031"/>
    <x v="9"/>
    <s v="Line item"/>
    <n v="0.98742390000000002"/>
    <n v="22.2"/>
    <n v="23.3"/>
    <n v="0"/>
    <n v="0"/>
    <n v="1.1000000000000001"/>
    <n v="5.2"/>
    <n v="0.2"/>
    <n v="1.3"/>
    <n v="106950"/>
    <x v="1"/>
  </r>
  <r>
    <s v="Film and video editors"/>
    <s v="27-4032"/>
    <x v="11"/>
    <s v="Line item"/>
    <n v="0.985707"/>
    <n v="43.5"/>
    <n v="45.2"/>
    <n v="0"/>
    <n v="0"/>
    <n v="1.7"/>
    <n v="4"/>
    <n v="29.3"/>
    <n v="3.6"/>
    <n v="70980"/>
    <x v="1"/>
  </r>
  <r>
    <s v="Switchboard operators, including answering service"/>
    <s v="43-2011"/>
    <x v="4"/>
    <s v="Line item"/>
    <n v="0.98326440000000004"/>
    <n v="36.6"/>
    <n v="27"/>
    <n v="0"/>
    <n v="0"/>
    <n v="-9.6"/>
    <n v="-26.3"/>
    <s v="—"/>
    <n v="2.8"/>
    <n v="38370"/>
    <x v="3"/>
  </r>
  <r>
    <s v="Educational, guidance, and career counselors and advisors"/>
    <s v="21-1012"/>
    <x v="8"/>
    <s v="Line item"/>
    <n v="0.97392869999999998"/>
    <n v="376.3"/>
    <n v="389.6"/>
    <n v="0.2"/>
    <n v="0.2"/>
    <n v="13.3"/>
    <n v="3.5"/>
    <n v="0.6"/>
    <n v="31"/>
    <n v="65140"/>
    <x v="0"/>
  </r>
  <r>
    <s v="Managers, all other"/>
    <s v="11-9199"/>
    <x v="5"/>
    <s v="Line item"/>
    <n v="0.96468719999999997"/>
    <n v="1333.7"/>
    <n v="1393.5"/>
    <n v="0.8"/>
    <n v="0.8"/>
    <n v="59.8"/>
    <n v="4.5"/>
    <n v="48.6"/>
    <n v="106.7"/>
    <n v="136550"/>
    <x v="1"/>
  </r>
  <r>
    <s v="Customer service representatives"/>
    <s v="43-4051"/>
    <x v="4"/>
    <s v="Line item"/>
    <n v="0.95625190000000004"/>
    <n v="2814"/>
    <n v="2660.3"/>
    <n v="1.7"/>
    <n v="1.5"/>
    <n v="-153.69999999999999"/>
    <n v="-5.5"/>
    <n v="0.8"/>
    <n v="341.7"/>
    <n v="42830"/>
    <x v="3"/>
  </r>
  <r>
    <s v="Agricultural engineers"/>
    <s v="17-2021"/>
    <x v="9"/>
    <s v="Line item"/>
    <n v="0.94096360000000001"/>
    <n v="1.7"/>
    <n v="1.8"/>
    <n v="0"/>
    <n v="0"/>
    <n v="0.1"/>
    <n v="5.9"/>
    <s v="—"/>
    <n v="0.1"/>
    <n v="84630"/>
    <x v="1"/>
  </r>
  <r>
    <s v="Producers and directors"/>
    <s v="27-2012"/>
    <x v="11"/>
    <s v="Line item"/>
    <n v="0.93881079999999995"/>
    <n v="167"/>
    <n v="175.2"/>
    <n v="0.1"/>
    <n v="0.1"/>
    <n v="8.3000000000000007"/>
    <n v="4.9000000000000004"/>
    <n v="8.1999999999999993"/>
    <n v="12.8"/>
    <n v="83480"/>
    <x v="1"/>
  </r>
  <r>
    <s v="Healthcare social workers"/>
    <s v="21-1022"/>
    <x v="8"/>
    <s v="Line item"/>
    <n v="0.93396480000000004"/>
    <n v="193.2"/>
    <n v="208.1"/>
    <n v="0.1"/>
    <n v="0.1"/>
    <n v="14.8"/>
    <n v="7.7"/>
    <n v="0.3"/>
    <n v="18.399999999999999"/>
    <n v="68090"/>
    <x v="0"/>
  </r>
  <r>
    <s v="Civil engineering technologists and technicians"/>
    <s v="17-3022"/>
    <x v="9"/>
    <s v="Line item"/>
    <n v="0.93232190000000004"/>
    <n v="64.900000000000006"/>
    <n v="66.2"/>
    <n v="0"/>
    <n v="0"/>
    <n v="1.4"/>
    <n v="2.1"/>
    <n v="0.8"/>
    <n v="5.5"/>
    <n v="64200"/>
    <x v="4"/>
  </r>
  <r>
    <s v="Health specialties teachers, postsecondary"/>
    <s v="25-1071"/>
    <x v="6"/>
    <s v="Line item"/>
    <n v="0.92475399999999996"/>
    <n v="289.60000000000002"/>
    <n v="339.7"/>
    <n v="0.2"/>
    <n v="0.2"/>
    <n v="50.1"/>
    <n v="17.3"/>
    <n v="0.3"/>
    <n v="27.4"/>
    <n v="105620"/>
    <x v="2"/>
  </r>
  <r>
    <s v="Architectural and civil drafters"/>
    <s v="17-3011"/>
    <x v="9"/>
    <s v="Line item"/>
    <n v="0.92339249999999995"/>
    <n v="110.5"/>
    <n v="115.1"/>
    <n v="0.1"/>
    <n v="0.1"/>
    <n v="4.5999999999999996"/>
    <n v="4.0999999999999996"/>
    <n v="0.7"/>
    <n v="10"/>
    <n v="64280"/>
    <x v="4"/>
  </r>
  <r>
    <s v="Electrical and electronics drafters"/>
    <s v="17-3012"/>
    <x v="9"/>
    <s v="Line item"/>
    <n v="0.91016600000000003"/>
    <n v="21.6"/>
    <n v="20.399999999999999"/>
    <n v="0"/>
    <n v="0"/>
    <n v="-1.2"/>
    <n v="-5.6"/>
    <n v="6.6"/>
    <n v="1.7"/>
    <n v="73720"/>
    <x v="4"/>
  </r>
  <r>
    <s v="Public safety telecommunicators"/>
    <s v="43-5031"/>
    <x v="4"/>
    <s v="Line item"/>
    <n v="0.90744519999999995"/>
    <n v="105.2"/>
    <n v="108.9"/>
    <n v="0.1"/>
    <n v="0.1"/>
    <n v="3.6"/>
    <n v="3.5"/>
    <s v="—"/>
    <n v="10.7"/>
    <n v="50730"/>
    <x v="3"/>
  </r>
  <r>
    <s v="Biochemists and biophysicists"/>
    <s v="19-1021"/>
    <x v="7"/>
    <s v="Line item"/>
    <n v="0.90605089999999999"/>
    <n v="35.6"/>
    <n v="37.6"/>
    <n v="0"/>
    <n v="0"/>
    <n v="2.1"/>
    <n v="5.8"/>
    <n v="1.7"/>
    <n v="2.9"/>
    <n v="103650"/>
    <x v="2"/>
  </r>
  <r>
    <s v="Sales representatives, wholesale and manufacturing, technical and scientific products"/>
    <s v="41-4011"/>
    <x v="10"/>
    <s v="Line item"/>
    <n v="0.8911985"/>
    <n v="303.2"/>
    <n v="308.89999999999998"/>
    <n v="0.2"/>
    <n v="0.2"/>
    <n v="5.7"/>
    <n v="1.9"/>
    <n v="2.1"/>
    <n v="27.2"/>
    <n v="100070"/>
    <x v="1"/>
  </r>
  <r>
    <s v="Transportation, storage, and distribution managers"/>
    <s v="11-3071"/>
    <x v="5"/>
    <s v="Line item"/>
    <n v="0.89079229999999998"/>
    <n v="216.7"/>
    <n v="229.8"/>
    <n v="0.1"/>
    <n v="0.1"/>
    <n v="13.1"/>
    <n v="6.1"/>
    <n v="1.7"/>
    <n v="18.5"/>
    <n v="102010"/>
    <x v="3"/>
  </r>
  <r>
    <s v="Elementary school teachers, except special education"/>
    <s v="25-2021"/>
    <x v="6"/>
    <s v="Line item"/>
    <n v="0.88694910000000005"/>
    <n v="1422.7"/>
    <n v="1394.8"/>
    <n v="0.8"/>
    <n v="0.8"/>
    <n v="-27.9"/>
    <n v="-2"/>
    <n v="0.6"/>
    <n v="91"/>
    <n v="62340"/>
    <x v="1"/>
  </r>
  <r>
    <s v="Music directors and composers"/>
    <s v="27-2041"/>
    <x v="11"/>
    <s v="Line item"/>
    <n v="0.88296410000000003"/>
    <n v="47.3"/>
    <n v="47.2"/>
    <n v="0"/>
    <n v="0"/>
    <n v="-0.1"/>
    <n v="-0.3"/>
    <n v="25.6"/>
    <n v="4.3"/>
    <n v="63670"/>
    <x v="1"/>
  </r>
  <r>
    <s v="Commercial and industrial designers"/>
    <s v="27-1021"/>
    <x v="11"/>
    <s v="Line item"/>
    <n v="0.867039"/>
    <n v="30.6"/>
    <n v="31.6"/>
    <n v="0"/>
    <n v="0"/>
    <n v="1"/>
    <n v="3.2"/>
    <n v="2"/>
    <n v="2.5"/>
    <n v="79450"/>
    <x v="1"/>
  </r>
  <r>
    <s v="Real estate sales agents"/>
    <s v="41-9022"/>
    <x v="10"/>
    <s v="Line item"/>
    <n v="0.86494450000000001"/>
    <n v="420.9"/>
    <n v="433.7"/>
    <n v="0.2"/>
    <n v="0.2"/>
    <n v="12.8"/>
    <n v="3.1"/>
    <n v="53.7"/>
    <n v="36.6"/>
    <n v="56320"/>
    <x v="3"/>
  </r>
  <r>
    <s v="Farm and home management educators"/>
    <s v="25-9021"/>
    <x v="6"/>
    <s v="Line item"/>
    <n v="0.86040309999999998"/>
    <n v="12.4"/>
    <n v="12.1"/>
    <n v="0"/>
    <n v="0"/>
    <n v="-0.3"/>
    <n v="-2.5"/>
    <n v="0.7"/>
    <n v="1.1000000000000001"/>
    <n v="58120"/>
    <x v="0"/>
  </r>
  <r>
    <s v="Concierges"/>
    <s v="39-6012"/>
    <x v="14"/>
    <s v="Line item"/>
    <n v="0.85583200000000004"/>
    <n v="45.6"/>
    <n v="46.7"/>
    <n v="0"/>
    <n v="0"/>
    <n v="1.1000000000000001"/>
    <n v="2.2999999999999998"/>
    <s v="—"/>
    <n v="6.8"/>
    <n v="37320"/>
    <x v="3"/>
  </r>
  <r>
    <s v="Broadcast announcers and radio disc jockeys"/>
    <s v="27-3011"/>
    <x v="11"/>
    <s v="Line item"/>
    <n v="0.84935470000000002"/>
    <n v="24.1"/>
    <n v="22.8"/>
    <n v="0"/>
    <n v="0"/>
    <n v="-1.3"/>
    <n v="-5.5"/>
    <s v="—"/>
    <n v="2.2999999999999998"/>
    <n v="45680"/>
    <x v="1"/>
  </r>
  <r>
    <s v="Mechanical drafters"/>
    <s v="17-3013"/>
    <x v="9"/>
    <s v="Line item"/>
    <n v="0.84100710000000001"/>
    <n v="42.9"/>
    <n v="40.1"/>
    <n v="0"/>
    <n v="0"/>
    <n v="-2.8"/>
    <n v="-6.5"/>
    <n v="6.6"/>
    <n v="3.3"/>
    <n v="68510"/>
    <x v="4"/>
  </r>
  <r>
    <s v="Order clerks"/>
    <s v="43-4151"/>
    <x v="4"/>
    <s v="Line item"/>
    <n v="0.83888609999999997"/>
    <n v="89.5"/>
    <n v="74.099999999999994"/>
    <n v="0.1"/>
    <n v="0"/>
    <n v="-15.4"/>
    <n v="-17.2"/>
    <n v="5.5"/>
    <n v="8"/>
    <n v="44660"/>
    <x v="7"/>
  </r>
  <r>
    <s v="Education and childcare administrators, preschool and daycare"/>
    <s v="11-9031"/>
    <x v="5"/>
    <s v="Line item"/>
    <n v="0.83800699999999995"/>
    <n v="90.2"/>
    <n v="87.9"/>
    <n v="0.1"/>
    <n v="0.1"/>
    <n v="-2.2999999999999998"/>
    <n v="-2.5"/>
    <n v="4.9000000000000004"/>
    <n v="5.5"/>
    <n v="56270"/>
    <x v="1"/>
  </r>
  <r>
    <s v="Architectural and engineering managers"/>
    <s v="11-9041"/>
    <x v="5"/>
    <s v="Line item"/>
    <n v="0.83701049999999999"/>
    <n v="212.5"/>
    <n v="220.5"/>
    <n v="0.1"/>
    <n v="0.1"/>
    <n v="8"/>
    <n v="3.8"/>
    <n v="0.2"/>
    <n v="14.5"/>
    <n v="167740"/>
    <x v="1"/>
  </r>
  <r>
    <s v="Gambling managers"/>
    <s v="11-9071"/>
    <x v="5"/>
    <s v="Line item"/>
    <n v="0.82992069999999996"/>
    <n v="5.0999999999999996"/>
    <n v="5.2"/>
    <n v="0"/>
    <n v="0"/>
    <n v="0.1"/>
    <n v="1.2"/>
    <n v="7.7"/>
    <n v="0.6"/>
    <n v="85580"/>
    <x v="3"/>
  </r>
  <r>
    <s v="Postmasters and mail superintendents"/>
    <s v="11-9131"/>
    <x v="5"/>
    <s v="Line item"/>
    <n v="0.82337570000000004"/>
    <n v="13.1"/>
    <n v="12.7"/>
    <n v="0"/>
    <n v="0"/>
    <n v="-0.5"/>
    <n v="-3.5"/>
    <s v="—"/>
    <n v="0.9"/>
    <n v="92730"/>
    <x v="3"/>
  </r>
  <r>
    <s v="Sales representatives, wholesale and manufacturing, except technical and scientific products"/>
    <s v="41-4012"/>
    <x v="10"/>
    <s v="Line item"/>
    <n v="0.82246810000000004"/>
    <n v="1310.5"/>
    <n v="1314.9"/>
    <n v="0.8"/>
    <n v="0.8"/>
    <n v="4.4000000000000004"/>
    <n v="0.3"/>
    <n v="2.1"/>
    <n v="114.8"/>
    <n v="66780"/>
    <x v="3"/>
  </r>
  <r>
    <s v="Cartographers and photogrammetrists"/>
    <s v="17-1021"/>
    <x v="9"/>
    <s v="Line item"/>
    <n v="0.81699790000000005"/>
    <n v="13.4"/>
    <n v="14.3"/>
    <n v="0"/>
    <n v="0"/>
    <n v="0.9"/>
    <n v="6.4"/>
    <n v="2.2999999999999998"/>
    <n v="1"/>
    <n v="78380"/>
    <x v="1"/>
  </r>
  <r>
    <s v="Food scientists and technologists"/>
    <s v="19-1012"/>
    <x v="7"/>
    <s v="Line item"/>
    <n v="0.79435750000000005"/>
    <n v="15.2"/>
    <n v="16.2"/>
    <n v="0"/>
    <n v="0"/>
    <n v="1"/>
    <n v="6.5"/>
    <n v="3.3"/>
    <n v="1.2"/>
    <n v="85310"/>
    <x v="1"/>
  </r>
  <r>
    <s v="Engineers, all other"/>
    <s v="17-2199"/>
    <x v="9"/>
    <s v="Line item"/>
    <n v="0.78756599999999999"/>
    <n v="158.80000000000001"/>
    <n v="162.1"/>
    <n v="0.1"/>
    <n v="0.1"/>
    <n v="3.3"/>
    <n v="2.1"/>
    <n v="2.1"/>
    <n v="9.3000000000000007"/>
    <n v="117750"/>
    <x v="1"/>
  </r>
  <r>
    <s v="Child, family, and school social workers"/>
    <s v="21-1021"/>
    <x v="8"/>
    <s v="Line item"/>
    <n v="0.77617069999999999"/>
    <n v="399.9"/>
    <n v="413.3"/>
    <n v="0.2"/>
    <n v="0.2"/>
    <n v="13.4"/>
    <n v="3.4"/>
    <n v="0.2"/>
    <n v="35.1"/>
    <n v="58570"/>
    <x v="1"/>
  </r>
  <r>
    <s v="Nuclear power reactor operators"/>
    <s v="51-8011"/>
    <x v="15"/>
    <s v="Line item"/>
    <n v="0.77053020000000005"/>
    <n v="5.7"/>
    <n v="4.9000000000000004"/>
    <n v="0"/>
    <n v="0"/>
    <n v="-0.9"/>
    <n v="-15.3"/>
    <s v="—"/>
    <n v="0.4"/>
    <n v="122610"/>
    <x v="3"/>
  </r>
  <r>
    <s v="Art, drama, and music teachers, postsecondary"/>
    <s v="25-1121"/>
    <x v="6"/>
    <s v="Line item"/>
    <n v="0.75827690000000003"/>
    <n v="122.8"/>
    <n v="124.8"/>
    <n v="0.1"/>
    <n v="0.1"/>
    <n v="2.1"/>
    <n v="1.7"/>
    <n v="0.4"/>
    <n v="9"/>
    <n v="80190"/>
    <x v="0"/>
  </r>
  <r>
    <s v="Agricultural sciences teachers, postsecondary"/>
    <s v="25-1041"/>
    <x v="6"/>
    <s v="Line item"/>
    <n v="0.75466849999999996"/>
    <n v="10.7"/>
    <n v="11.2"/>
    <n v="0"/>
    <n v="0"/>
    <n v="0.4"/>
    <n v="4.0999999999999996"/>
    <s v="—"/>
    <n v="0.8"/>
    <n v="86350"/>
    <x v="2"/>
  </r>
  <r>
    <s v="Private detectives and investigators"/>
    <s v="33-9021"/>
    <x v="16"/>
    <s v="Line item"/>
    <n v="0.74831080000000005"/>
    <n v="43.6"/>
    <n v="46.2"/>
    <n v="0"/>
    <n v="0"/>
    <n v="2.6"/>
    <n v="6"/>
    <n v="10.8"/>
    <n v="3.9"/>
    <n v="52370"/>
    <x v="3"/>
  </r>
  <r>
    <s v="Curators"/>
    <s v="25-4012"/>
    <x v="6"/>
    <s v="Line item"/>
    <n v="0.73666580000000004"/>
    <n v="15.1"/>
    <n v="16.2"/>
    <n v="0"/>
    <n v="0"/>
    <n v="1.1000000000000001"/>
    <n v="7"/>
    <n v="13.1"/>
    <n v="1.8"/>
    <n v="61770"/>
    <x v="0"/>
  </r>
  <r>
    <s v="Special education teachers, kindergarten and elementary school"/>
    <s v="25-2052"/>
    <x v="6"/>
    <s v="Line item"/>
    <n v="0.73574859999999997"/>
    <n v="230.2"/>
    <n v="226.1"/>
    <n v="0.1"/>
    <n v="0.1"/>
    <n v="-4.0999999999999996"/>
    <n v="-1.8"/>
    <n v="0.3"/>
    <n v="15.4"/>
    <n v="63000"/>
    <x v="1"/>
  </r>
  <r>
    <s v="Gambling surveillance officers and gambling investigators"/>
    <s v="33-9031"/>
    <x v="16"/>
    <s v="Line item"/>
    <n v="0.72839330000000002"/>
    <n v="10.3"/>
    <n v="10.3"/>
    <n v="0"/>
    <n v="0"/>
    <n v="0"/>
    <n v="0.3"/>
    <s v="—"/>
    <n v="1.3"/>
    <n v="43900"/>
    <x v="3"/>
  </r>
  <r>
    <s v="Graphic designers"/>
    <s v="27-1024"/>
    <x v="11"/>
    <s v="Line item"/>
    <n v="0.71569579999999999"/>
    <n v="265.89999999999998"/>
    <n v="271.5"/>
    <n v="0.2"/>
    <n v="0.2"/>
    <n v="5.7"/>
    <n v="2.1"/>
    <n v="17.7"/>
    <n v="20"/>
    <n v="61300"/>
    <x v="1"/>
  </r>
  <r>
    <s v="Geoscientists, except hydrologists and geographers"/>
    <s v="19-2042"/>
    <x v="7"/>
    <s v="Line item"/>
    <n v="0.71434810000000004"/>
    <n v="25.1"/>
    <n v="26"/>
    <n v="0"/>
    <n v="0"/>
    <n v="0.8"/>
    <n v="3.2"/>
    <n v="7"/>
    <n v="2"/>
    <n v="99240"/>
    <x v="1"/>
  </r>
  <r>
    <s v="Special effects artists and animators"/>
    <s v="27-1014"/>
    <x v="11"/>
    <s v="Line item"/>
    <n v="0.70586510000000002"/>
    <n v="57.1"/>
    <n v="58"/>
    <n v="0"/>
    <n v="0"/>
    <n v="0.9"/>
    <n v="1.6"/>
    <n v="61.5"/>
    <n v="5"/>
    <n v="99800"/>
    <x v="1"/>
  </r>
  <r>
    <s v="Production, planning, and expediting clerks"/>
    <s v="43-5061"/>
    <x v="4"/>
    <s v="Line item"/>
    <n v="0.69991029999999999"/>
    <n v="388.8"/>
    <n v="381.7"/>
    <n v="0.2"/>
    <n v="0.2"/>
    <n v="-7.1"/>
    <n v="-1.8"/>
    <s v="—"/>
    <n v="34.1"/>
    <n v="57770"/>
    <x v="3"/>
  </r>
  <r>
    <s v="Compliance officers"/>
    <s v="13-1041"/>
    <x v="1"/>
    <s v="Line item"/>
    <n v="0.69812050000000003"/>
    <n v="418"/>
    <n v="430.3"/>
    <n v="0.2"/>
    <n v="0.2"/>
    <n v="12.3"/>
    <n v="3"/>
    <n v="0.4"/>
    <n v="33.299999999999997"/>
    <n v="78420"/>
    <x v="1"/>
  </r>
  <r>
    <s v="Anthropologists and archeologists"/>
    <s v="19-3091"/>
    <x v="7"/>
    <s v="Line item"/>
    <n v="0.69656649999999998"/>
    <n v="8.8000000000000007"/>
    <n v="9.1999999999999993"/>
    <n v="0"/>
    <n v="0"/>
    <n v="0.3"/>
    <n v="3.7"/>
    <n v="3.6"/>
    <n v="0.8"/>
    <n v="64910"/>
    <x v="0"/>
  </r>
  <r>
    <s v="Microbiologists"/>
    <s v="19-1022"/>
    <x v="7"/>
    <s v="Line item"/>
    <n v="0.69556470000000004"/>
    <n v="20.7"/>
    <n v="21.6"/>
    <n v="0"/>
    <n v="0"/>
    <n v="0.8"/>
    <n v="4.0999999999999996"/>
    <n v="1.3"/>
    <n v="1.7"/>
    <n v="87330"/>
    <x v="1"/>
  </r>
  <r>
    <s v="Health education specialists"/>
    <s v="21-1091"/>
    <x v="8"/>
    <s v="Line item"/>
    <n v="0.691658"/>
    <n v="71.8"/>
    <n v="75"/>
    <n v="0"/>
    <n v="0"/>
    <n v="3.2"/>
    <n v="4.5"/>
    <n v="0.6"/>
    <n v="7.9"/>
    <n v="63000"/>
    <x v="1"/>
  </r>
  <r>
    <s v="Archivists"/>
    <s v="25-4011"/>
    <x v="6"/>
    <s v="Line item"/>
    <n v="0.67656019999999994"/>
    <n v="9.3000000000000007"/>
    <n v="9.6999999999999993"/>
    <n v="0"/>
    <n v="0"/>
    <n v="0.4"/>
    <n v="3.8"/>
    <n v="10.4"/>
    <n v="1.1000000000000001"/>
    <n v="61570"/>
    <x v="0"/>
  </r>
  <r>
    <s v="Electronics engineers, except computer"/>
    <s v="17-2072"/>
    <x v="9"/>
    <s v="Line item"/>
    <n v="0.66545779999999999"/>
    <n v="95.9"/>
    <n v="101.8"/>
    <n v="0.1"/>
    <n v="0.1"/>
    <n v="6"/>
    <n v="6.2"/>
    <n v="0.9"/>
    <n v="5.7"/>
    <n v="127590"/>
    <x v="1"/>
  </r>
  <r>
    <s v="Insurance appraisers, auto damage"/>
    <s v="13-1032"/>
    <x v="1"/>
    <s v="Line item"/>
    <n v="0.66349550000000002"/>
    <n v="9.1999999999999993"/>
    <n v="8.4"/>
    <n v="0"/>
    <n v="0"/>
    <n v="-0.8"/>
    <n v="-8.1999999999999993"/>
    <n v="2.7"/>
    <n v="0.5"/>
    <n v="76650"/>
    <x v="6"/>
  </r>
  <r>
    <s v="Hydrologists"/>
    <s v="19-2043"/>
    <x v="7"/>
    <s v="Line item"/>
    <n v="0.6405071"/>
    <n v="6.3"/>
    <n v="6.3"/>
    <n v="0"/>
    <n v="0"/>
    <n v="0"/>
    <n v="-0.1"/>
    <n v="3.1"/>
    <n v="0.5"/>
    <n v="92060"/>
    <x v="1"/>
  </r>
  <r>
    <s v="Audiologists"/>
    <s v="29-1181"/>
    <x v="0"/>
    <s v="Line item"/>
    <n v="0.63290630000000003"/>
    <n v="15.8"/>
    <n v="17.3"/>
    <n v="0"/>
    <n v="0"/>
    <n v="1.5"/>
    <n v="9.5"/>
    <n v="4.4000000000000004"/>
    <n v="0.7"/>
    <n v="92120"/>
    <x v="2"/>
  </r>
  <r>
    <s v="Soil and plant scientists"/>
    <s v="19-1013"/>
    <x v="7"/>
    <s v="Line item"/>
    <n v="0.63206960000000001"/>
    <n v="20.7"/>
    <n v="21.8"/>
    <n v="0"/>
    <n v="0"/>
    <n v="1.1000000000000001"/>
    <n v="5.4"/>
    <n v="2"/>
    <n v="1.7"/>
    <n v="71410"/>
    <x v="1"/>
  </r>
  <r>
    <s v="Podiatrists"/>
    <s v="29-1081"/>
    <x v="0"/>
    <s v="Line item"/>
    <n v="0.62791850000000005"/>
    <n v="9.6999999999999993"/>
    <n v="9.9"/>
    <n v="0"/>
    <n v="0"/>
    <n v="0.2"/>
    <n v="1.8"/>
    <s v="—"/>
    <n v="0.3"/>
    <n v="152800"/>
    <x v="2"/>
  </r>
  <r>
    <s v="Word processors and typists"/>
    <s v="43-9022"/>
    <x v="4"/>
    <s v="Line item"/>
    <n v="0.62196059999999997"/>
    <n v="40"/>
    <n v="25.6"/>
    <n v="0"/>
    <n v="0"/>
    <n v="-14.4"/>
    <n v="-36.1"/>
    <n v="7.5"/>
    <n v="2.2000000000000002"/>
    <n v="47850"/>
    <x v="3"/>
  </r>
  <r>
    <s v="Industrial engineering technologists and technicians"/>
    <s v="17-3026"/>
    <x v="9"/>
    <s v="Line item"/>
    <n v="0.61066790000000004"/>
    <n v="74.599999999999994"/>
    <n v="75.900000000000006"/>
    <n v="0"/>
    <n v="0"/>
    <n v="1.3"/>
    <n v="1.7"/>
    <n v="1.5"/>
    <n v="6.3"/>
    <n v="64790"/>
    <x v="4"/>
  </r>
  <r>
    <s v="Hotel, motel, and resort desk clerks"/>
    <s v="43-4081"/>
    <x v="4"/>
    <s v="Line item"/>
    <n v="0.60631270000000004"/>
    <n v="264.2"/>
    <n v="274"/>
    <n v="0.2"/>
    <n v="0.2"/>
    <n v="9.9"/>
    <n v="3.7"/>
    <s v="—"/>
    <n v="43.6"/>
    <n v="34270"/>
    <x v="3"/>
  </r>
  <r>
    <s v="Pharmacists"/>
    <s v="29-1051"/>
    <x v="0"/>
    <s v="Line item"/>
    <n v="0.60587049999999998"/>
    <n v="335.1"/>
    <n v="350.5"/>
    <n v="0.2"/>
    <n v="0.2"/>
    <n v="15.4"/>
    <n v="4.5999999999999996"/>
    <n v="0.6"/>
    <n v="14.2"/>
    <n v="137480"/>
    <x v="2"/>
  </r>
  <r>
    <s v="Fashion designers"/>
    <s v="27-1022"/>
    <x v="11"/>
    <s v="Line item"/>
    <n v="0.5801539"/>
    <n v="25.7"/>
    <n v="26.2"/>
    <n v="0"/>
    <n v="0"/>
    <n v="0.5"/>
    <n v="2"/>
    <n v="20"/>
    <n v="2.2999999999999998"/>
    <n v="80690"/>
    <x v="1"/>
  </r>
  <r>
    <s v="General and operations managers"/>
    <s v="11-1021"/>
    <x v="5"/>
    <s v="Line item"/>
    <n v="0.57487730000000004"/>
    <n v="3712.9"/>
    <n v="3876.8"/>
    <n v="2.2000000000000002"/>
    <n v="2.2000000000000002"/>
    <n v="164"/>
    <n v="4.4000000000000004"/>
    <n v="0.9"/>
    <n v="308.7"/>
    <n v="102950"/>
    <x v="1"/>
  </r>
  <r>
    <s v="Hearing aid specialists"/>
    <s v="29-2092"/>
    <x v="0"/>
    <s v="Line item"/>
    <n v="0.56489529999999999"/>
    <n v="10.7"/>
    <n v="12.6"/>
    <n v="0"/>
    <n v="0"/>
    <n v="2"/>
    <n v="18.399999999999999"/>
    <n v="0.5"/>
    <n v="1"/>
    <n v="61560"/>
    <x v="3"/>
  </r>
  <r>
    <s v="Marine engineers and naval architects"/>
    <s v="17-2121"/>
    <x v="9"/>
    <s v="Line item"/>
    <n v="0.54721730000000002"/>
    <n v="8.5"/>
    <n v="9"/>
    <n v="0"/>
    <n v="0"/>
    <n v="0.5"/>
    <n v="5.8"/>
    <s v="—"/>
    <n v="0.6"/>
    <n v="105670"/>
    <x v="1"/>
  </r>
  <r>
    <s v="Probation officers and correctional treatment specialists"/>
    <s v="21-1092"/>
    <x v="8"/>
    <s v="Line item"/>
    <n v="0.52724479999999996"/>
    <n v="92.3"/>
    <n v="94.8"/>
    <n v="0.1"/>
    <n v="0.1"/>
    <n v="2.4"/>
    <n v="2.6"/>
    <s v="—"/>
    <n v="7.9"/>
    <n v="64520"/>
    <x v="1"/>
  </r>
  <r>
    <s v="Self-enrichment teachers"/>
    <s v="25-3021"/>
    <x v="6"/>
    <s v="Line item"/>
    <n v="0.52635200000000004"/>
    <n v="417.5"/>
    <n v="433"/>
    <n v="0.2"/>
    <n v="0.2"/>
    <n v="15.5"/>
    <n v="3.7"/>
    <n v="16.8"/>
    <n v="51.4"/>
    <n v="45590"/>
    <x v="3"/>
  </r>
  <r>
    <s v="Career/technical education teachers, middle school"/>
    <s v="25-2023"/>
    <x v="6"/>
    <s v="Line item"/>
    <n v="0.51991909999999997"/>
    <n v="14"/>
    <n v="13.8"/>
    <n v="0"/>
    <n v="0"/>
    <n v="-0.3"/>
    <n v="-2"/>
    <s v="—"/>
    <n v="0.9"/>
    <n v="63620"/>
    <x v="1"/>
  </r>
  <r>
    <s v="Nursing instructors and teachers, postsecondary"/>
    <s v="25-1072"/>
    <x v="6"/>
    <s v="Line item"/>
    <n v="0.51706819999999998"/>
    <n v="91.6"/>
    <n v="106.9"/>
    <n v="0.1"/>
    <n v="0.1"/>
    <n v="15.3"/>
    <n v="16.8"/>
    <n v="0.4"/>
    <n v="8.6"/>
    <n v="79940"/>
    <x v="2"/>
  </r>
  <r>
    <s v="Industrial production managers"/>
    <s v="11-3051"/>
    <x v="5"/>
    <s v="Line item"/>
    <n v="0.50868780000000002"/>
    <n v="241.9"/>
    <n v="246.5"/>
    <n v="0.1"/>
    <n v="0.1"/>
    <n v="4.5999999999999996"/>
    <n v="1.9"/>
    <n v="2.6"/>
    <n v="17.100000000000001"/>
    <n v="121440"/>
    <x v="1"/>
  </r>
  <r>
    <s v="Optometrists"/>
    <s v="29-1041"/>
    <x v="0"/>
    <s v="Line item"/>
    <n v="0.50401940000000001"/>
    <n v="47.8"/>
    <n v="51.6"/>
    <n v="0"/>
    <n v="0"/>
    <n v="3.8"/>
    <n v="8"/>
    <n v="11.5"/>
    <n v="2.4"/>
    <n v="134830"/>
    <x v="2"/>
  </r>
  <r>
    <s v="Rehabilitation counselors"/>
    <s v="21-1015"/>
    <x v="8"/>
    <s v="Line item"/>
    <n v="0.50250139999999999"/>
    <n v="91.9"/>
    <n v="93.2"/>
    <n v="0.1"/>
    <n v="0.1"/>
    <n v="1.3"/>
    <n v="1.4"/>
    <s v="—"/>
    <n v="10"/>
    <n v="46110"/>
    <x v="0"/>
  </r>
  <r>
    <s v="Power distributors and dispatchers"/>
    <s v="51-8012"/>
    <x v="15"/>
    <s v="Line item"/>
    <n v="0.50122140000000004"/>
    <n v="9.3000000000000007"/>
    <n v="9"/>
    <n v="0"/>
    <n v="0"/>
    <n v="-0.3"/>
    <n v="-3.2"/>
    <s v="—"/>
    <n v="0.8"/>
    <n v="107240"/>
    <x v="3"/>
  </r>
  <r>
    <s v="Chemists"/>
    <s v="19-2031"/>
    <x v="7"/>
    <s v="Line item"/>
    <n v="0.50112509999999999"/>
    <n v="86.8"/>
    <n v="91"/>
    <n v="0.1"/>
    <n v="0.1"/>
    <n v="4.3"/>
    <n v="4.9000000000000004"/>
    <n v="1"/>
    <n v="6.3"/>
    <n v="84150"/>
    <x v="1"/>
  </r>
  <r>
    <s v="Airfield operations specialists"/>
    <s v="53-2022"/>
    <x v="12"/>
    <s v="Line item"/>
    <n v="0.4845738"/>
    <n v="16.899999999999999"/>
    <n v="17.600000000000001"/>
    <n v="0"/>
    <n v="0"/>
    <n v="0.7"/>
    <n v="4.2"/>
    <s v="—"/>
    <n v="1.6"/>
    <n v="56750"/>
    <x v="3"/>
  </r>
  <r>
    <s v="Residential advisors"/>
    <s v="39-9041"/>
    <x v="14"/>
    <s v="Line item"/>
    <n v="0.47461189999999998"/>
    <n v="91.2"/>
    <n v="94.7"/>
    <n v="0.1"/>
    <n v="0.1"/>
    <n v="3.5"/>
    <n v="3.8"/>
    <n v="2.2000000000000002"/>
    <n v="17.399999999999999"/>
    <n v="39180"/>
    <x v="3"/>
  </r>
  <r>
    <s v="Tellers"/>
    <s v="43-3071"/>
    <x v="4"/>
    <s v="Line item"/>
    <n v="0.47277229999999998"/>
    <n v="347.4"/>
    <n v="302.5"/>
    <n v="0.2"/>
    <n v="0.2"/>
    <n v="-44.9"/>
    <n v="-12.9"/>
    <s v="—"/>
    <n v="29.8"/>
    <n v="39340"/>
    <x v="3"/>
  </r>
  <r>
    <s v="Sound engineering technicians"/>
    <s v="27-4014"/>
    <x v="11"/>
    <s v="Line item"/>
    <n v="0.47154620000000003"/>
    <n v="16.899999999999999"/>
    <n v="16.600000000000001"/>
    <n v="0"/>
    <n v="0"/>
    <n v="-0.3"/>
    <n v="-1.7"/>
    <n v="12"/>
    <n v="1.2"/>
    <n v="66430"/>
    <x v="6"/>
  </r>
  <r>
    <s v="Gambling and sports book writers and runners"/>
    <s v="39-3012"/>
    <x v="14"/>
    <s v="Line item"/>
    <n v="0.4652752"/>
    <n v="8.1999999999999993"/>
    <n v="7.7"/>
    <n v="0"/>
    <n v="0"/>
    <n v="-0.5"/>
    <n v="-6.1"/>
    <n v="4.4000000000000004"/>
    <n v="1.2"/>
    <n v="30460"/>
    <x v="3"/>
  </r>
  <r>
    <s v="Social and human service assistants"/>
    <s v="21-1093"/>
    <x v="8"/>
    <s v="Line item"/>
    <n v="0.46522550000000001"/>
    <n v="449.6"/>
    <n v="478.5"/>
    <n v="0.3"/>
    <n v="0.3"/>
    <n v="28.9"/>
    <n v="6.4"/>
    <n v="0.3"/>
    <n v="50.6"/>
    <n v="45120"/>
    <x v="3"/>
  </r>
  <r>
    <s v="Life, physical, and social science technicians, all other"/>
    <s v="19-4099"/>
    <x v="7"/>
    <s v="Line item"/>
    <n v="0.45010440000000002"/>
    <n v="83.2"/>
    <n v="86.2"/>
    <n v="0"/>
    <n v="0"/>
    <n v="2.9"/>
    <n v="3.5"/>
    <n v="4.9000000000000004"/>
    <n v="10.6"/>
    <n v="60130"/>
    <x v="4"/>
  </r>
  <r>
    <s v="Prepress technicians and workers"/>
    <s v="51-5111"/>
    <x v="15"/>
    <s v="Line item"/>
    <n v="0.41079729999999998"/>
    <n v="26.2"/>
    <n v="22.3"/>
    <n v="0"/>
    <n v="0"/>
    <n v="-3.8"/>
    <n v="-14.6"/>
    <n v="12.9"/>
    <n v="2.8"/>
    <n v="47300"/>
    <x v="6"/>
  </r>
  <r>
    <s v="Gambling cage workers"/>
    <s v="43-3041"/>
    <x v="4"/>
    <s v="Line item"/>
    <n v="0.4026518"/>
    <n v="14.1"/>
    <n v="13.4"/>
    <n v="0"/>
    <n v="0"/>
    <n v="-0.7"/>
    <n v="-5"/>
    <n v="1.6"/>
    <n v="1.3"/>
    <n v="36990"/>
    <x v="3"/>
  </r>
  <r>
    <s v="Lodging managers"/>
    <s v="11-9081"/>
    <x v="5"/>
    <s v="Line item"/>
    <n v="0.40217259999999999"/>
    <n v="52"/>
    <n v="53.8"/>
    <n v="0"/>
    <n v="0"/>
    <n v="1.8"/>
    <n v="3.4"/>
    <n v="19.100000000000001"/>
    <n v="5.4"/>
    <n v="68130"/>
    <x v="3"/>
  </r>
  <r>
    <s v="Traffic technicians"/>
    <s v="53-6041"/>
    <x v="12"/>
    <s v="Line item"/>
    <n v="0.39958719999999998"/>
    <n v="7.9"/>
    <n v="8.1999999999999993"/>
    <n v="0"/>
    <n v="0"/>
    <n v="0.3"/>
    <n v="3.7"/>
    <n v="1.1000000000000001"/>
    <n v="0.8"/>
    <n v="58480"/>
    <x v="3"/>
  </r>
  <r>
    <s v="Aerospace engineering and operations technologists and technicians"/>
    <s v="17-3021"/>
    <x v="9"/>
    <s v="Line item"/>
    <n v="0.39094020000000002"/>
    <n v="9.3000000000000007"/>
    <n v="10.1"/>
    <n v="0"/>
    <n v="0"/>
    <n v="0.8"/>
    <n v="8.1"/>
    <n v="1.4"/>
    <n v="0.9"/>
    <n v="79830"/>
    <x v="4"/>
  </r>
  <r>
    <s v="Special education teachers, preschool"/>
    <s v="25-2051"/>
    <x v="6"/>
    <s v="Line item"/>
    <n v="0.37505640000000001"/>
    <n v="29.3"/>
    <n v="29.7"/>
    <n v="0"/>
    <n v="0"/>
    <n v="0.4"/>
    <n v="1.4"/>
    <n v="1.8"/>
    <n v="2.1"/>
    <n v="62190"/>
    <x v="1"/>
  </r>
  <r>
    <s v="Meeting, convention, and event planners"/>
    <s v="13-1121"/>
    <x v="1"/>
    <s v="Line item"/>
    <n v="0.37402069999999998"/>
    <n v="155.80000000000001"/>
    <n v="163.30000000000001"/>
    <n v="0.1"/>
    <n v="0.1"/>
    <n v="7.5"/>
    <n v="4.8"/>
    <n v="5.0999999999999996"/>
    <n v="15.5"/>
    <n v="59440"/>
    <x v="1"/>
  </r>
  <r>
    <s v="Career/technical education teachers, secondary school"/>
    <s v="25-2032"/>
    <x v="6"/>
    <s v="Line item"/>
    <n v="0.37345050000000002"/>
    <n v="103.4"/>
    <n v="101.5"/>
    <n v="0.1"/>
    <n v="0.1"/>
    <n v="-1.9"/>
    <n v="-1.8"/>
    <s v="—"/>
    <n v="6.2"/>
    <n v="63910"/>
    <x v="1"/>
  </r>
  <r>
    <s v="Kindergarten teachers, except special education"/>
    <s v="25-2012"/>
    <x v="6"/>
    <s v="Line item"/>
    <n v="0.36440470000000003"/>
    <n v="117.2"/>
    <n v="115.2"/>
    <n v="0.1"/>
    <n v="0.1"/>
    <n v="-1.9"/>
    <n v="-1.6"/>
    <n v="0.1"/>
    <n v="12.8"/>
    <n v="61430"/>
    <x v="1"/>
  </r>
  <r>
    <s v="Education administrators, all other"/>
    <s v="11-9039"/>
    <x v="5"/>
    <s v="Line item"/>
    <n v="0.35412650000000001"/>
    <n v="60.2"/>
    <n v="61.7"/>
    <n v="0"/>
    <n v="0"/>
    <n v="1.5"/>
    <n v="2.5"/>
    <n v="3.5"/>
    <n v="4.0999999999999996"/>
    <n v="89040"/>
    <x v="1"/>
  </r>
  <r>
    <s v="Electrical and electronic engineering technologists and technicians"/>
    <s v="17-3023"/>
    <x v="9"/>
    <s v="Line item"/>
    <n v="0.35152519999999998"/>
    <n v="93.7"/>
    <n v="94.3"/>
    <n v="0.1"/>
    <n v="0.1"/>
    <n v="0.6"/>
    <n v="0.6"/>
    <n v="0.1"/>
    <n v="8.4"/>
    <n v="77180"/>
    <x v="4"/>
  </r>
  <r>
    <s v="Desktop publishers"/>
    <s v="43-9031"/>
    <x v="4"/>
    <s v="Line item"/>
    <n v="0.34377429999999998"/>
    <n v="5"/>
    <n v="4.4000000000000004"/>
    <n v="0"/>
    <n v="0"/>
    <n v="-0.6"/>
    <n v="-12.4"/>
    <n v="16.8"/>
    <n v="0.4"/>
    <n v="53620"/>
    <x v="4"/>
  </r>
  <r>
    <s v="Zoologists and wildlife biologists"/>
    <s v="19-1023"/>
    <x v="7"/>
    <s v="Line item"/>
    <n v="0.31759530000000002"/>
    <n v="18.2"/>
    <n v="18.5"/>
    <n v="0"/>
    <n v="0"/>
    <n v="0.3"/>
    <n v="1.6"/>
    <n v="0.5"/>
    <n v="1.4"/>
    <n v="72860"/>
    <x v="1"/>
  </r>
  <r>
    <s v="Data entry keyers"/>
    <s v="43-9021"/>
    <x v="4"/>
    <s v="Line item"/>
    <n v="0.31080809999999998"/>
    <n v="141.6"/>
    <n v="104.9"/>
    <n v="0.1"/>
    <n v="0.1"/>
    <n v="-36.700000000000003"/>
    <n v="-25.9"/>
    <n v="2.2000000000000002"/>
    <n v="9.5"/>
    <n v="39850"/>
    <x v="3"/>
  </r>
  <r>
    <s v="Biological technicians"/>
    <s v="19-4021"/>
    <x v="7"/>
    <s v="Line item"/>
    <n v="0.30123549999999999"/>
    <n v="82.7"/>
    <n v="85.6"/>
    <n v="0"/>
    <n v="0"/>
    <n v="2.9"/>
    <n v="3.5"/>
    <s v="—"/>
    <n v="9.1"/>
    <n v="52000"/>
    <x v="1"/>
  </r>
  <r>
    <s v="Construction and building inspectors"/>
    <s v="47-4011"/>
    <x v="17"/>
    <s v="Line item"/>
    <n v="0.28602450000000001"/>
    <n v="147.6"/>
    <n v="146.5"/>
    <n v="0.1"/>
    <n v="0.1"/>
    <n v="-1.2"/>
    <n v="-0.8"/>
    <n v="4.8"/>
    <n v="14.8"/>
    <n v="72120"/>
    <x v="3"/>
  </r>
  <r>
    <s v="File clerks"/>
    <s v="43-4071"/>
    <x v="4"/>
    <s v="Line item"/>
    <n v="0.28397430000000001"/>
    <n v="84.3"/>
    <n v="70.900000000000006"/>
    <n v="0"/>
    <n v="0"/>
    <n v="-13.4"/>
    <n v="-15.9"/>
    <n v="2.9"/>
    <n v="7.3"/>
    <n v="41270"/>
    <x v="3"/>
  </r>
  <r>
    <s v="Nurse anesthetists"/>
    <s v="29-1151"/>
    <x v="0"/>
    <s v="Line item"/>
    <n v="0.24131910000000001"/>
    <n v="53.8"/>
    <n v="58.5"/>
    <n v="0"/>
    <n v="0"/>
    <n v="4.5999999999999996"/>
    <n v="8.6"/>
    <n v="3.9"/>
    <n v="2.7"/>
    <n v="223210"/>
    <x v="0"/>
  </r>
  <r>
    <s v="Forensic science technicians"/>
    <s v="19-4092"/>
    <x v="7"/>
    <s v="Line item"/>
    <n v="0.24005180000000001"/>
    <n v="20.7"/>
    <n v="23.3"/>
    <n v="0"/>
    <n v="0"/>
    <n v="2.6"/>
    <n v="12.8"/>
    <n v="0.9"/>
    <n v="2.9"/>
    <n v="67440"/>
    <x v="1"/>
  </r>
  <r>
    <s v="Healthcare practitioners and technical workers, all other"/>
    <s v="29-9099"/>
    <x v="0"/>
    <s v="Line item"/>
    <n v="0.22955680000000001"/>
    <n v="41.7"/>
    <n v="43.1"/>
    <n v="0"/>
    <n v="0"/>
    <n v="1.5"/>
    <n v="3.6"/>
    <n v="6.8"/>
    <n v="2.6"/>
    <n v="64030"/>
    <x v="6"/>
  </r>
  <r>
    <s v="Registered nurses"/>
    <s v="29-1141"/>
    <x v="0"/>
    <s v="Line item"/>
    <n v="0.22940969999999999"/>
    <n v="3391"/>
    <n v="3557.1"/>
    <n v="2"/>
    <n v="2"/>
    <n v="166.1"/>
    <n v="4.9000000000000004"/>
    <n v="0.5"/>
    <n v="189.1"/>
    <n v="93600"/>
    <x v="1"/>
  </r>
  <r>
    <s v="Reservation and transportation ticket agents and travel clerks"/>
    <s v="43-4181"/>
    <x v="4"/>
    <s v="Line item"/>
    <n v="0.22731199999999999"/>
    <n v="131.9"/>
    <n v="135.6"/>
    <n v="0.1"/>
    <n v="0.1"/>
    <n v="3.7"/>
    <n v="2.8"/>
    <n v="3"/>
    <n v="14.4"/>
    <n v="41460"/>
    <x v="3"/>
  </r>
  <r>
    <s v="Detectives and criminal investigators"/>
    <s v="33-3021"/>
    <x v="16"/>
    <s v="Line item"/>
    <n v="0.22576959999999999"/>
    <n v="117.9"/>
    <n v="117.1"/>
    <n v="0.1"/>
    <n v="0.1"/>
    <n v="-0.8"/>
    <n v="-0.7"/>
    <s v="—"/>
    <n v="7.8"/>
    <n v="93580"/>
    <x v="3"/>
  </r>
  <r>
    <s v="Recreational therapists"/>
    <s v="29-1125"/>
    <x v="0"/>
    <s v="Line item"/>
    <n v="0.21901090000000001"/>
    <n v="16.100000000000001"/>
    <n v="16.600000000000001"/>
    <n v="0"/>
    <n v="0"/>
    <n v="0.5"/>
    <n v="3.3"/>
    <s v="—"/>
    <n v="1.3"/>
    <n v="60280"/>
    <x v="1"/>
  </r>
  <r>
    <s v="Library assistants, clerical"/>
    <s v="43-4121"/>
    <x v="4"/>
    <s v="Line item"/>
    <n v="0.20389189999999999"/>
    <n v="84.5"/>
    <n v="78.900000000000006"/>
    <n v="0"/>
    <n v="0"/>
    <n v="-5.6"/>
    <n v="-6.7"/>
    <s v="—"/>
    <n v="12.8"/>
    <n v="36010"/>
    <x v="3"/>
  </r>
  <r>
    <s v="Nurse midwives"/>
    <s v="29-1161"/>
    <x v="0"/>
    <s v="Line item"/>
    <n v="0.19662650000000001"/>
    <n v="8.6"/>
    <n v="9.5"/>
    <n v="0"/>
    <n v="0"/>
    <n v="0.9"/>
    <n v="11.1"/>
    <n v="1"/>
    <n v="0.5"/>
    <n v="128790"/>
    <x v="0"/>
  </r>
  <r>
    <s v="Engineering technologists and technicians, except drafters, all other"/>
    <s v="17-3029"/>
    <x v="9"/>
    <s v="Line item"/>
    <n v="0.19412779999999999"/>
    <n v="67.3"/>
    <n v="68.3"/>
    <n v="0"/>
    <n v="0"/>
    <n v="1"/>
    <n v="1.5"/>
    <n v="1"/>
    <n v="5.7"/>
    <n v="77390"/>
    <x v="4"/>
  </r>
  <r>
    <s v="Nurse practitioners"/>
    <s v="29-1171"/>
    <x v="0"/>
    <s v="Line item"/>
    <n v="0.19005720000000001"/>
    <n v="320.39999999999998"/>
    <n v="448.8"/>
    <n v="0.2"/>
    <n v="0.3"/>
    <n v="128.4"/>
    <n v="40.1"/>
    <n v="1"/>
    <n v="29.5"/>
    <n v="129210"/>
    <x v="0"/>
  </r>
  <r>
    <s v="Agricultural inspectors"/>
    <s v="45-2011"/>
    <x v="18"/>
    <s v="Line item"/>
    <n v="0.17048669999999999"/>
    <n v="14.7"/>
    <n v="14.9"/>
    <n v="0"/>
    <n v="0"/>
    <n v="0.2"/>
    <n v="1.5"/>
    <s v="—"/>
    <n v="2.2000000000000002"/>
    <n v="50990"/>
    <x v="1"/>
  </r>
  <r>
    <s v="Nuclear technicians"/>
    <s v="19-4051"/>
    <x v="7"/>
    <s v="Line item"/>
    <n v="0.1696743"/>
    <n v="6"/>
    <n v="5.5"/>
    <n v="0"/>
    <n v="0"/>
    <n v="-0.5"/>
    <n v="-7.7"/>
    <s v="—"/>
    <n v="0.7"/>
    <n v="104240"/>
    <x v="4"/>
  </r>
  <r>
    <s v="Healthcare support workers, all other"/>
    <s v="31-9099"/>
    <x v="13"/>
    <s v="Line item"/>
    <n v="0.16600770000000001"/>
    <n v="109.7"/>
    <n v="113.5"/>
    <n v="0.1"/>
    <n v="0.1"/>
    <n v="3.8"/>
    <n v="3.5"/>
    <n v="2.5"/>
    <n v="14.4"/>
    <n v="46050"/>
    <x v="3"/>
  </r>
  <r>
    <s v="Career/technical education teachers, postsecondary"/>
    <s v="25-1194"/>
    <x v="6"/>
    <s v="Line item"/>
    <n v="0.16221849999999999"/>
    <n v="122.2"/>
    <n v="123"/>
    <n v="0.1"/>
    <n v="0.1"/>
    <n v="0.8"/>
    <n v="0.7"/>
    <n v="0.4"/>
    <n v="8.8000000000000007"/>
    <n v="61490"/>
    <x v="1"/>
  </r>
  <r>
    <s v="Orthodontists"/>
    <s v="29-1023"/>
    <x v="0"/>
    <s v="Line item"/>
    <n v="0.1616631"/>
    <n v="5.9"/>
    <n v="6.2"/>
    <n v="0"/>
    <n v="0"/>
    <n v="0.3"/>
    <n v="4.4000000000000004"/>
    <n v="12"/>
    <n v="0.2"/>
    <s v="&gt;=$239,200"/>
    <x v="2"/>
  </r>
  <r>
    <s v="Actors"/>
    <s v="27-2011"/>
    <x v="11"/>
    <s v="Line item"/>
    <n v="0.1590935"/>
    <n v="57"/>
    <n v="57.1"/>
    <n v="0"/>
    <n v="0"/>
    <n v="0.2"/>
    <n v="0.3"/>
    <n v="27.9"/>
    <n v="6.3"/>
    <s v="—"/>
    <x v="7"/>
  </r>
  <r>
    <s v="Medical assistants"/>
    <s v="31-9092"/>
    <x v="13"/>
    <s v="Line item"/>
    <n v="0.1497917"/>
    <n v="811"/>
    <n v="912.2"/>
    <n v="0.5"/>
    <n v="0.5"/>
    <n v="101.2"/>
    <n v="12.5"/>
    <s v="—"/>
    <n v="112.3"/>
    <n v="44200"/>
    <x v="6"/>
  </r>
  <r>
    <s v="Surveyors"/>
    <s v="17-1022"/>
    <x v="9"/>
    <s v="Line item"/>
    <n v="0.14606060000000001"/>
    <n v="56.1"/>
    <n v="58.6"/>
    <n v="0"/>
    <n v="0"/>
    <n v="2.5"/>
    <n v="4.4000000000000004"/>
    <n v="4.3"/>
    <n v="3.9"/>
    <n v="72740"/>
    <x v="1"/>
  </r>
  <r>
    <s v="Demonstrators and product promoters"/>
    <s v="41-9011"/>
    <x v="10"/>
    <s v="Line item"/>
    <n v="0.1235652"/>
    <n v="79.2"/>
    <n v="79.099999999999994"/>
    <n v="0"/>
    <n v="0"/>
    <n v="-0.1"/>
    <n v="-0.1"/>
    <n v="18.2"/>
    <n v="14"/>
    <n v="37960"/>
    <x v="5"/>
  </r>
  <r>
    <s v="Broadcast technicians"/>
    <s v="27-4012"/>
    <x v="11"/>
    <s v="Line item"/>
    <n v="0.1222249"/>
    <n v="24.8"/>
    <n v="24.2"/>
    <n v="0"/>
    <n v="0"/>
    <n v="-0.7"/>
    <n v="-2.8"/>
    <n v="12.6"/>
    <n v="1.8"/>
    <n v="53920"/>
    <x v="4"/>
  </r>
  <r>
    <s v="Coaches and scouts"/>
    <s v="27-2022"/>
    <x v="11"/>
    <s v="Line item"/>
    <n v="0.11686680000000001"/>
    <n v="306.5"/>
    <n v="326"/>
    <n v="0.2"/>
    <n v="0.2"/>
    <n v="19.5"/>
    <n v="6.4"/>
    <n v="10.199999999999999"/>
    <n v="41.8"/>
    <n v="45920"/>
    <x v="1"/>
  </r>
  <r>
    <s v="Occupational therapists"/>
    <s v="29-1122"/>
    <x v="0"/>
    <s v="Line item"/>
    <n v="0.1151615"/>
    <n v="160"/>
    <n v="182.1"/>
    <n v="0.1"/>
    <n v="0.1"/>
    <n v="22.1"/>
    <n v="13.8"/>
    <n v="2.2000000000000002"/>
    <n v="10.199999999999999"/>
    <n v="98340"/>
    <x v="0"/>
  </r>
  <r>
    <s v="Physician assistants"/>
    <s v="29-1071"/>
    <x v="0"/>
    <s v="Line item"/>
    <n v="0.1059147"/>
    <n v="162.69999999999999"/>
    <n v="195.8"/>
    <n v="0.1"/>
    <n v="0.1"/>
    <n v="33.200000000000003"/>
    <n v="20.399999999999999"/>
    <n v="1.5"/>
    <n v="12"/>
    <n v="133260"/>
    <x v="0"/>
  </r>
  <r>
    <s v="Opticians, dispensing"/>
    <s v="29-2081"/>
    <x v="0"/>
    <s v="Line item"/>
    <n v="0.1013966"/>
    <n v="79.900000000000006"/>
    <n v="82.2"/>
    <n v="0"/>
    <n v="0"/>
    <n v="2.2999999999999998"/>
    <n v="2.9"/>
    <s v="—"/>
    <n v="6.8"/>
    <n v="46560"/>
    <x v="3"/>
  </r>
  <r>
    <s v="Retail salespersons"/>
    <s v="41-2031"/>
    <x v="10"/>
    <s v="Line item"/>
    <n v="8.7306900000000007E-2"/>
    <n v="3936.7"/>
    <n v="3917.1"/>
    <n v="2.2999999999999998"/>
    <n v="2.2000000000000002"/>
    <n v="-19.600000000000001"/>
    <n v="-0.5"/>
    <n v="4"/>
    <n v="555.79999999999995"/>
    <n v="34580"/>
    <x v="5"/>
  </r>
  <r>
    <s v="Nuclear medicine technologists"/>
    <s v="29-2033"/>
    <x v="0"/>
    <s v="Line item"/>
    <n v="8.5527599999999995E-2"/>
    <n v="20"/>
    <n v="20.6"/>
    <n v="0"/>
    <n v="0"/>
    <n v="0.6"/>
    <n v="3"/>
    <n v="13.7"/>
    <n v="0.9"/>
    <n v="97020"/>
    <x v="4"/>
  </r>
  <r>
    <s v="Surveying and mapping technicians"/>
    <s v="17-3031"/>
    <x v="9"/>
    <s v="Line item"/>
    <n v="8.52324E-2"/>
    <n v="59.4"/>
    <n v="62.1"/>
    <n v="0"/>
    <n v="0"/>
    <n v="2.7"/>
    <n v="4.5"/>
    <n v="3.6"/>
    <n v="7.6"/>
    <n v="51940"/>
    <x v="3"/>
  </r>
  <r>
    <s v="Ophthalmic medical technicians"/>
    <s v="29-2057"/>
    <x v="0"/>
    <s v="Line item"/>
    <n v="7.8733999999999998E-2"/>
    <n v="78.8"/>
    <n v="94.4"/>
    <n v="0"/>
    <n v="0.1"/>
    <n v="15.6"/>
    <n v="19.8"/>
    <n v="0.7"/>
    <n v="12.5"/>
    <n v="44080"/>
    <x v="6"/>
  </r>
  <r>
    <s v="Counter and rental clerks"/>
    <s v="41-2021"/>
    <x v="10"/>
    <s v="Line item"/>
    <n v="7.8436699999999998E-2"/>
    <n v="408.2"/>
    <n v="421.3"/>
    <n v="0.2"/>
    <n v="0.2"/>
    <n v="13.1"/>
    <n v="3.2"/>
    <n v="0.9"/>
    <n v="45.9"/>
    <n v="38540"/>
    <x v="5"/>
  </r>
  <r>
    <s v="Protective service workers, all other"/>
    <s v="33-9099"/>
    <x v="16"/>
    <s v="Line item"/>
    <n v="7.6408799999999999E-2"/>
    <n v="84"/>
    <n v="86.1"/>
    <n v="0"/>
    <n v="0"/>
    <n v="2.1"/>
    <n v="2.5"/>
    <s v="—"/>
    <n v="23.3"/>
    <n v="41600"/>
    <x v="3"/>
  </r>
  <r>
    <s v="Conservation scientists"/>
    <s v="19-1031"/>
    <x v="7"/>
    <s v="Line item"/>
    <n v="6.9031300000000004E-2"/>
    <n v="28.5"/>
    <n v="29.5"/>
    <n v="0"/>
    <n v="0"/>
    <n v="1"/>
    <n v="3.4"/>
    <n v="3.5"/>
    <n v="2.5"/>
    <n v="67950"/>
    <x v="1"/>
  </r>
  <r>
    <s v="Orthotists and prosthetists"/>
    <s v="29-2091"/>
    <x v="0"/>
    <s v="Line item"/>
    <n v="6.6576999999999997E-2"/>
    <n v="10.1"/>
    <n v="11.5"/>
    <n v="0"/>
    <n v="0"/>
    <n v="1.3"/>
    <n v="13.3"/>
    <s v="—"/>
    <n v="0.9"/>
    <n v="78310"/>
    <x v="0"/>
  </r>
  <r>
    <s v="Chemical technicians"/>
    <s v="19-4031"/>
    <x v="7"/>
    <s v="Line item"/>
    <n v="6.2805700000000006E-2"/>
    <n v="57"/>
    <n v="59"/>
    <n v="0"/>
    <n v="0"/>
    <n v="2.1"/>
    <n v="3.7"/>
    <n v="0.7"/>
    <n v="6.7"/>
    <n v="57790"/>
    <x v="4"/>
  </r>
  <r>
    <s v="Fire inspectors and investigators"/>
    <s v="33-2021"/>
    <x v="16"/>
    <s v="Line item"/>
    <n v="6.2793000000000002E-2"/>
    <n v="14.7"/>
    <n v="15.2"/>
    <n v="0"/>
    <n v="0"/>
    <n v="0.6"/>
    <n v="3.8"/>
    <s v="—"/>
    <n v="1.5"/>
    <n v="78060"/>
    <x v="6"/>
  </r>
  <r>
    <s v="Gambling dealers"/>
    <s v="39-3011"/>
    <x v="14"/>
    <s v="Line item"/>
    <n v="6.0583199999999997E-2"/>
    <n v="88.7"/>
    <n v="88.1"/>
    <n v="0.1"/>
    <n v="0.1"/>
    <n v="-0.6"/>
    <n v="-0.6"/>
    <n v="3.9"/>
    <n v="14.1"/>
    <n v="33280"/>
    <x v="3"/>
  </r>
  <r>
    <s v="Camera and photographic equipment repairers"/>
    <s v="49-9061"/>
    <x v="19"/>
    <s v="Line item"/>
    <n v="5.4642200000000002E-2"/>
    <n v="2.2999999999999998"/>
    <n v="1.9"/>
    <n v="0"/>
    <n v="0"/>
    <n v="-0.3"/>
    <n v="-15.1"/>
    <n v="8.6999999999999993"/>
    <n v="0.2"/>
    <n v="49300"/>
    <x v="3"/>
  </r>
  <r>
    <s v="Environmental engineering technologists and technicians"/>
    <s v="17-3025"/>
    <x v="9"/>
    <s v="Line item"/>
    <n v="4.3805400000000001E-2"/>
    <n v="12.9"/>
    <n v="13"/>
    <n v="0"/>
    <n v="0"/>
    <n v="0.1"/>
    <n v="1.2"/>
    <n v="1.2"/>
    <n v="1.1000000000000001"/>
    <n v="58890"/>
    <x v="4"/>
  </r>
  <r>
    <s v="Library technicians"/>
    <s v="25-4031"/>
    <x v="6"/>
    <s v="Line item"/>
    <n v="3.7964999999999999E-2"/>
    <n v="78.599999999999994"/>
    <n v="73.2"/>
    <n v="0"/>
    <n v="0"/>
    <n v="-5.4"/>
    <n v="-6.8"/>
    <s v="—"/>
    <n v="13"/>
    <n v="39970"/>
    <x v="6"/>
  </r>
  <r>
    <s v="Community health workers"/>
    <s v="21-1094"/>
    <x v="8"/>
    <s v="Line item"/>
    <n v="3.71229E-2"/>
    <n v="65.099999999999994"/>
    <n v="72.5"/>
    <n v="0"/>
    <n v="0"/>
    <n v="7.4"/>
    <n v="11.3"/>
    <n v="0.8"/>
    <n v="7.8"/>
    <n v="51030"/>
    <x v="3"/>
  </r>
  <r>
    <s v="Manicurists and pedicurists"/>
    <s v="39-5092"/>
    <x v="14"/>
    <s v="Line item"/>
    <n v="3.3512399999999998E-2"/>
    <n v="210.1"/>
    <n v="224.8"/>
    <n v="0.1"/>
    <n v="0.1"/>
    <n v="14.7"/>
    <n v="7"/>
    <n v="28"/>
    <n v="24.8"/>
    <n v="34660"/>
    <x v="6"/>
  </r>
  <r>
    <s v="Preschool teachers, except special education"/>
    <s v="25-2011"/>
    <x v="6"/>
    <s v="Line item"/>
    <n v="3.06372E-2"/>
    <n v="555.1"/>
    <n v="578.1"/>
    <n v="0.3"/>
    <n v="0.3"/>
    <n v="22.9"/>
    <n v="4.0999999999999996"/>
    <n v="0.6"/>
    <n v="65.5"/>
    <n v="37120"/>
    <x v="4"/>
  </r>
  <r>
    <s v="First-line supervisors of retail sales workers"/>
    <s v="41-1011"/>
    <x v="10"/>
    <s v="Line item"/>
    <n v="1.9182600000000001E-2"/>
    <n v="1432.6"/>
    <n v="1360.3"/>
    <n v="0.8"/>
    <n v="0.8"/>
    <n v="-72.3"/>
    <n v="-5"/>
    <n v="22.5"/>
    <n v="125.1"/>
    <n v="47320"/>
    <x v="3"/>
  </r>
  <r>
    <s v="Pharmacy technicians"/>
    <s v="29-2052"/>
    <x v="0"/>
    <s v="Line item"/>
    <n v="7.0255999999999999E-3"/>
    <n v="490.4"/>
    <n v="521.79999999999995"/>
    <n v="0.3"/>
    <n v="0.3"/>
    <n v="31.5"/>
    <n v="6.4"/>
    <s v="—"/>
    <n v="49"/>
    <n v="43460"/>
    <x v="3"/>
  </r>
  <r>
    <s v="Dental laboratory technicians"/>
    <s v="51-9081"/>
    <x v="15"/>
    <s v="Line item"/>
    <n v="1.3205999999999999E-3"/>
    <n v="35.200000000000003"/>
    <n v="33.6"/>
    <n v="0"/>
    <n v="0"/>
    <n v="-1.6"/>
    <n v="-4.7"/>
    <n v="4"/>
    <n v="3.9"/>
    <n v="48310"/>
    <x v="3"/>
  </r>
  <r>
    <s v="Legislators"/>
    <s v="11-1031"/>
    <x v="5"/>
    <s v="Line item"/>
    <n v="0"/>
    <n v="27.7"/>
    <n v="28.6"/>
    <n v="0"/>
    <n v="0"/>
    <n v="0.9"/>
    <n v="3.4"/>
    <s v="—"/>
    <n v="2.2000000000000002"/>
    <n v="44810"/>
    <x v="1"/>
  </r>
  <r>
    <s v="Public relations managers"/>
    <s v="11-2032"/>
    <x v="5"/>
    <s v="Line item"/>
    <n v="0"/>
    <n v="83.2"/>
    <n v="87.3"/>
    <n v="0"/>
    <n v="0"/>
    <n v="4.0999999999999996"/>
    <n v="5"/>
    <n v="0.3"/>
    <n v="6.6"/>
    <n v="138520"/>
    <x v="1"/>
  </r>
  <r>
    <s v="Fundraising managers"/>
    <s v="11-2033"/>
    <x v="5"/>
    <s v="Line item"/>
    <n v="0"/>
    <n v="45.7"/>
    <n v="47.6"/>
    <n v="0"/>
    <n v="0"/>
    <n v="1.9"/>
    <n v="4.2"/>
    <n v="0.2"/>
    <n v="3.6"/>
    <n v="123480"/>
    <x v="1"/>
  </r>
  <r>
    <s v="Administrative services managers"/>
    <s v="11-3012"/>
    <x v="5"/>
    <s v="Line item"/>
    <n v="0"/>
    <n v="271.2"/>
    <n v="283.8"/>
    <n v="0.2"/>
    <n v="0.2"/>
    <n v="12.6"/>
    <n v="4.5999999999999996"/>
    <n v="0"/>
    <n v="23.2"/>
    <n v="108390"/>
    <x v="1"/>
  </r>
  <r>
    <s v="Facilities managers"/>
    <s v="11-3013"/>
    <x v="5"/>
    <s v="Line item"/>
    <n v="0"/>
    <n v="151.4"/>
    <n v="157.1"/>
    <n v="0.1"/>
    <n v="0.1"/>
    <n v="5.7"/>
    <n v="3.8"/>
    <s v="—"/>
    <n v="13.2"/>
    <n v="104690"/>
    <x v="1"/>
  </r>
  <r>
    <s v="Entertainment and recreation managers, except gambling"/>
    <s v="11-9072"/>
    <x v="5"/>
    <s v="Line item"/>
    <n v="0"/>
    <n v="43.2"/>
    <n v="46.5"/>
    <n v="0"/>
    <n v="0"/>
    <n v="3.3"/>
    <n v="7.7"/>
    <n v="8.6"/>
    <n v="5.5"/>
    <n v="77180"/>
    <x v="1"/>
  </r>
  <r>
    <s v="Funeral home managers"/>
    <s v="11-9171"/>
    <x v="5"/>
    <s v="Line item"/>
    <n v="0"/>
    <n v="32.1"/>
    <n v="33.4"/>
    <n v="0"/>
    <n v="0"/>
    <n v="1.3"/>
    <n v="4.0999999999999996"/>
    <n v="56.1"/>
    <n v="2.6"/>
    <n v="76830"/>
    <x v="4"/>
  </r>
  <r>
    <s v="Personal service managers, all other"/>
    <s v="11-9179"/>
    <x v="5"/>
    <s v="Line item"/>
    <n v="0"/>
    <n v="25.1"/>
    <n v="26.7"/>
    <n v="0"/>
    <n v="0"/>
    <n v="1.6"/>
    <n v="6.5"/>
    <n v="54.3"/>
    <n v="2.1"/>
    <n v="61340"/>
    <x v="3"/>
  </r>
  <r>
    <s v="Buyers and purchasing agents"/>
    <s v="13-1020"/>
    <x v="1"/>
    <s v="Line item"/>
    <n v="0"/>
    <n v="522.20000000000005"/>
    <n v="552.29999999999995"/>
    <n v="0.3"/>
    <n v="0.3"/>
    <n v="30.1"/>
    <n v="5.8"/>
    <n v="4.7"/>
    <n v="52.2"/>
    <n v="75650"/>
    <x v="1"/>
  </r>
  <r>
    <s v="Project management specialists"/>
    <s v="13-1082"/>
    <x v="1"/>
    <s v="Line item"/>
    <n v="0"/>
    <n v="1046.3"/>
    <n v="1105"/>
    <n v="0.6"/>
    <n v="0.6"/>
    <n v="58.7"/>
    <n v="5.6"/>
    <n v="1.8"/>
    <n v="78.2"/>
    <n v="100750"/>
    <x v="1"/>
  </r>
  <r>
    <s v="Property appraisers and assessors"/>
    <s v="13-2020"/>
    <x v="1"/>
    <s v="Line item"/>
    <n v="0"/>
    <n v="77.3"/>
    <n v="80.2"/>
    <n v="0"/>
    <n v="0"/>
    <n v="2.9"/>
    <n v="3.8"/>
    <n v="21.1"/>
    <n v="6.3"/>
    <n v="65420"/>
    <x v="1"/>
  </r>
  <r>
    <s v="Financial risk specialists"/>
    <s v="13-2054"/>
    <x v="1"/>
    <s v="Line item"/>
    <n v="0"/>
    <n v="60.5"/>
    <n v="64.400000000000006"/>
    <n v="0"/>
    <n v="0"/>
    <n v="3.9"/>
    <n v="6.5"/>
    <n v="4"/>
    <n v="4.8"/>
    <n v="106000"/>
    <x v="1"/>
  </r>
  <r>
    <s v="Computer systems analysts"/>
    <s v="15-1211"/>
    <x v="2"/>
    <s v="Line item"/>
    <n v="0"/>
    <n v="521.1"/>
    <n v="566.5"/>
    <n v="0.3"/>
    <n v="0.3"/>
    <n v="45.5"/>
    <n v="8.6999999999999993"/>
    <n v="2.2000000000000002"/>
    <n v="34.200000000000003"/>
    <n v="103790"/>
    <x v="1"/>
  </r>
  <r>
    <s v="Information security analysts"/>
    <s v="15-1212"/>
    <x v="2"/>
    <s v="Line item"/>
    <n v="0"/>
    <n v="182.8"/>
    <n v="234.9"/>
    <n v="0.1"/>
    <n v="0.1"/>
    <n v="52.1"/>
    <n v="28.5"/>
    <n v="0.6"/>
    <n v="16"/>
    <n v="124910"/>
    <x v="1"/>
  </r>
  <r>
    <s v="Computer and information research scientists"/>
    <s v="15-1221"/>
    <x v="2"/>
    <s v="Line item"/>
    <n v="0"/>
    <n v="40.299999999999997"/>
    <n v="48.3"/>
    <n v="0"/>
    <n v="0"/>
    <n v="7.9"/>
    <n v="19.7"/>
    <n v="0.9"/>
    <n v="3.2"/>
    <n v="140910"/>
    <x v="0"/>
  </r>
  <r>
    <s v="Computer network support specialists"/>
    <s v="15-1231"/>
    <x v="2"/>
    <s v="Line item"/>
    <n v="0"/>
    <n v="152.69999999999999"/>
    <n v="155.5"/>
    <n v="0.1"/>
    <n v="0.1"/>
    <n v="2.8"/>
    <n v="1.8"/>
    <n v="2"/>
    <n v="9.6"/>
    <n v="73340"/>
    <x v="4"/>
  </r>
  <r>
    <s v="Computer user support specialists"/>
    <s v="15-1232"/>
    <x v="2"/>
    <s v="Line item"/>
    <n v="0"/>
    <n v="729.5"/>
    <n v="702.5"/>
    <n v="0.4"/>
    <n v="0.4"/>
    <n v="-27"/>
    <n v="-3.7"/>
    <n v="2"/>
    <n v="40.799999999999997"/>
    <n v="60340"/>
    <x v="7"/>
  </r>
  <r>
    <s v="Computer network architects"/>
    <s v="15-1241"/>
    <x v="2"/>
    <s v="Line item"/>
    <n v="0"/>
    <n v="179.2"/>
    <n v="200.6"/>
    <n v="0.1"/>
    <n v="0.1"/>
    <n v="21.4"/>
    <n v="11.9"/>
    <n v="0.4"/>
    <n v="11.2"/>
    <n v="130390"/>
    <x v="1"/>
  </r>
  <r>
    <s v="Database administrators"/>
    <s v="15-1242"/>
    <x v="2"/>
    <s v="Line item"/>
    <n v="0"/>
    <n v="78"/>
    <n v="77.5"/>
    <n v="0"/>
    <n v="0"/>
    <n v="-0.5"/>
    <n v="-0.7"/>
    <n v="1.2"/>
    <n v="3.8"/>
    <n v="104620"/>
    <x v="1"/>
  </r>
  <r>
    <s v="Database architects"/>
    <s v="15-1243"/>
    <x v="2"/>
    <s v="Line item"/>
    <n v="0"/>
    <n v="66.900000000000006"/>
    <n v="72.7"/>
    <n v="0"/>
    <n v="0"/>
    <n v="5.8"/>
    <n v="8.6999999999999993"/>
    <n v="1.4"/>
    <n v="4"/>
    <n v="135980"/>
    <x v="1"/>
  </r>
  <r>
    <s v="Network and computer systems administrators"/>
    <s v="15-1244"/>
    <x v="2"/>
    <s v="Line item"/>
    <n v="0"/>
    <n v="331.5"/>
    <n v="317.7"/>
    <n v="0.2"/>
    <n v="0.2"/>
    <n v="-13.8"/>
    <n v="-4.2"/>
    <n v="0.3"/>
    <n v="14.3"/>
    <n v="96800"/>
    <x v="1"/>
  </r>
  <r>
    <s v="Computer programmers"/>
    <s v="15-1251"/>
    <x v="2"/>
    <s v="Line item"/>
    <n v="0"/>
    <n v="121.2"/>
    <n v="113.9"/>
    <n v="0.1"/>
    <n v="0.1"/>
    <n v="-7.2"/>
    <n v="-6"/>
    <n v="6.2"/>
    <n v="5.5"/>
    <n v="98670"/>
    <x v="1"/>
  </r>
  <r>
    <s v="Software developers"/>
    <s v="15-1252"/>
    <x v="2"/>
    <s v="Line item"/>
    <n v="0"/>
    <n v="1693.8"/>
    <n v="1961.4"/>
    <n v="1"/>
    <n v="1.1000000000000001"/>
    <n v="267.7"/>
    <n v="15.8"/>
    <n v="1.6"/>
    <n v="115.2"/>
    <n v="133080"/>
    <x v="1"/>
  </r>
  <r>
    <s v="Software quality assurance analysts and testers"/>
    <s v="15-1253"/>
    <x v="2"/>
    <s v="Line item"/>
    <n v="0"/>
    <n v="201.7"/>
    <n v="221.9"/>
    <n v="0.1"/>
    <n v="0.1"/>
    <n v="20.2"/>
    <n v="10"/>
    <n v="0.1"/>
    <n v="14"/>
    <n v="102610"/>
    <x v="1"/>
  </r>
  <r>
    <s v="Web developers"/>
    <s v="15-1254"/>
    <x v="2"/>
    <s v="Line item"/>
    <n v="0"/>
    <n v="86"/>
    <n v="92.5"/>
    <n v="0.1"/>
    <n v="0.1"/>
    <n v="6.5"/>
    <n v="7.5"/>
    <n v="5.3"/>
    <n v="5.4"/>
    <n v="90930"/>
    <x v="1"/>
  </r>
  <r>
    <s v="Web and digital interface designers"/>
    <s v="15-1255"/>
    <x v="2"/>
    <s v="Line item"/>
    <n v="0"/>
    <n v="128.9"/>
    <n v="137.9"/>
    <n v="0.1"/>
    <n v="0.1"/>
    <n v="9"/>
    <n v="7"/>
    <n v="10.1"/>
    <n v="9.1"/>
    <n v="98090"/>
    <x v="1"/>
  </r>
  <r>
    <s v="Computer occupations, all other"/>
    <s v="15-1299"/>
    <x v="2"/>
    <s v="Line item"/>
    <n v="0"/>
    <n v="472"/>
    <n v="510.5"/>
    <n v="0.3"/>
    <n v="0.3"/>
    <n v="38.5"/>
    <n v="8.1999999999999993"/>
    <n v="3.9"/>
    <n v="31.3"/>
    <n v="108970"/>
    <x v="1"/>
  </r>
  <r>
    <s v="Data scientists"/>
    <s v="15-2051"/>
    <x v="2"/>
    <s v="Line item"/>
    <n v="0"/>
    <n v="245.9"/>
    <n v="328.3"/>
    <n v="0.1"/>
    <n v="0.2"/>
    <n v="82.5"/>
    <n v="33.5"/>
    <n v="1.8"/>
    <n v="23.4"/>
    <n v="112590"/>
    <x v="1"/>
  </r>
  <r>
    <s v="Mathematical science occupations, all other"/>
    <s v="15-2099"/>
    <x v="2"/>
    <s v="Line item"/>
    <n v="0"/>
    <n v="5"/>
    <n v="5.2"/>
    <n v="0"/>
    <n v="0"/>
    <n v="0.2"/>
    <n v="4"/>
    <n v="1.4"/>
    <n v="0.3"/>
    <n v="71490"/>
    <x v="1"/>
  </r>
  <r>
    <s v="Drafters, all other"/>
    <s v="17-3019"/>
    <x v="9"/>
    <s v="Line item"/>
    <n v="0"/>
    <n v="17.100000000000001"/>
    <n v="15.9"/>
    <n v="0"/>
    <n v="0"/>
    <n v="-1.2"/>
    <n v="-6.9"/>
    <n v="6.5"/>
    <n v="1.3"/>
    <n v="62010"/>
    <x v="4"/>
  </r>
  <r>
    <s v="Calibration technologists and technicians"/>
    <s v="17-3028"/>
    <x v="9"/>
    <s v="Line item"/>
    <n v="0"/>
    <n v="15.8"/>
    <n v="16.5"/>
    <n v="0"/>
    <n v="0"/>
    <n v="0.7"/>
    <n v="4.7"/>
    <n v="1.5"/>
    <n v="1.4"/>
    <n v="65040"/>
    <x v="4"/>
  </r>
  <r>
    <s v="Life scientists, all other"/>
    <s v="19-1099"/>
    <x v="7"/>
    <s v="Line item"/>
    <n v="0"/>
    <n v="7.8"/>
    <n v="8.1"/>
    <n v="0"/>
    <n v="0"/>
    <n v="0.3"/>
    <n v="3.7"/>
    <s v="—"/>
    <n v="0.4"/>
    <n v="87800"/>
    <x v="1"/>
  </r>
  <r>
    <s v="Clinical and counseling psychologists"/>
    <s v="19-3033"/>
    <x v="7"/>
    <s v="Line item"/>
    <n v="0"/>
    <n v="76.3"/>
    <n v="84.8"/>
    <n v="0"/>
    <n v="0"/>
    <n v="8.5"/>
    <n v="11.2"/>
    <n v="2.4"/>
    <n v="4.8"/>
    <n v="95830"/>
    <x v="2"/>
  </r>
  <r>
    <s v="School psychologists"/>
    <s v="19-3034"/>
    <x v="7"/>
    <s v="Line item"/>
    <n v="0"/>
    <n v="67.2"/>
    <n v="67.7"/>
    <n v="0"/>
    <n v="0"/>
    <n v="0.5"/>
    <n v="0.7"/>
    <n v="5.3"/>
    <n v="3.8"/>
    <n v="86930"/>
    <x v="0"/>
  </r>
  <r>
    <s v="Agricultural technicians"/>
    <s v="19-4012"/>
    <x v="7"/>
    <s v="Line item"/>
    <n v="0"/>
    <n v="18.600000000000001"/>
    <n v="19.399999999999999"/>
    <n v="0"/>
    <n v="0"/>
    <n v="0.8"/>
    <n v="4.3"/>
    <n v="5.2"/>
    <n v="2.9"/>
    <n v="46790"/>
    <x v="4"/>
  </r>
  <r>
    <s v="Food science technicians"/>
    <s v="19-4013"/>
    <x v="7"/>
    <s v="Line item"/>
    <n v="0"/>
    <n v="20.399999999999999"/>
    <n v="21.3"/>
    <n v="0"/>
    <n v="0"/>
    <n v="1"/>
    <n v="4.8"/>
    <n v="6.7"/>
    <n v="3.2"/>
    <n v="49430"/>
    <x v="4"/>
  </r>
  <r>
    <s v="Environmental science and protection technicians, including health"/>
    <s v="19-4042"/>
    <x v="7"/>
    <s v="Line item"/>
    <n v="0"/>
    <n v="40.4"/>
    <n v="42.1"/>
    <n v="0"/>
    <n v="0"/>
    <n v="1.6"/>
    <n v="4"/>
    <s v="—"/>
    <n v="5.6"/>
    <n v="49490"/>
    <x v="4"/>
  </r>
  <r>
    <s v="Geological technicians, except hydrologic technicians"/>
    <s v="19-4043"/>
    <x v="7"/>
    <s v="Line item"/>
    <n v="0"/>
    <n v="9.8000000000000007"/>
    <n v="10"/>
    <n v="0"/>
    <n v="0"/>
    <n v="0.1"/>
    <n v="1.5"/>
    <s v="—"/>
    <n v="1.3"/>
    <n v="48390"/>
    <x v="4"/>
  </r>
  <r>
    <s v="Hydrologic technicians"/>
    <s v="19-4044"/>
    <x v="7"/>
    <s v="Line item"/>
    <n v="0"/>
    <n v="3.1"/>
    <n v="3"/>
    <n v="0"/>
    <n v="0"/>
    <n v="-0.1"/>
    <n v="-2.1"/>
    <s v="—"/>
    <n v="0.4"/>
    <n v="58570"/>
    <x v="4"/>
  </r>
  <r>
    <s v="Forest and conservation technicians"/>
    <s v="19-4071"/>
    <x v="7"/>
    <s v="Line item"/>
    <n v="0"/>
    <n v="33.799999999999997"/>
    <n v="32.700000000000003"/>
    <n v="0"/>
    <n v="0"/>
    <n v="-1.1000000000000001"/>
    <n v="-3.2"/>
    <n v="0.7"/>
    <n v="3.9"/>
    <n v="54310"/>
    <x v="4"/>
  </r>
  <r>
    <s v="Occupational health and safety specialists"/>
    <s v="19-5011"/>
    <x v="7"/>
    <s v="Line item"/>
    <n v="0"/>
    <n v="131.9"/>
    <n v="148.4"/>
    <n v="0.1"/>
    <n v="0.1"/>
    <n v="16.5"/>
    <n v="12.5"/>
    <n v="0.1"/>
    <n v="14.9"/>
    <n v="83910"/>
    <x v="1"/>
  </r>
  <r>
    <s v="Occupational health and safety technicians"/>
    <s v="19-5012"/>
    <x v="7"/>
    <s v="Line item"/>
    <n v="0"/>
    <n v="31.9"/>
    <n v="34.6"/>
    <n v="0"/>
    <n v="0"/>
    <n v="2.7"/>
    <n v="8.5"/>
    <s v="—"/>
    <n v="3.4"/>
    <n v="58440"/>
    <x v="3"/>
  </r>
  <r>
    <s v="Substance abuse, behavioral disorder, and mental health counselors"/>
    <s v="21-1018"/>
    <x v="8"/>
    <s v="Line item"/>
    <n v="0"/>
    <n v="483.5"/>
    <n v="564.6"/>
    <n v="0.3"/>
    <n v="0.3"/>
    <n v="81"/>
    <n v="16.8"/>
    <n v="5.9"/>
    <n v="48.3"/>
    <n v="59190"/>
    <x v="0"/>
  </r>
  <r>
    <s v="Counselors, all other"/>
    <s v="21-1019"/>
    <x v="8"/>
    <s v="Line item"/>
    <n v="0"/>
    <n v="69.099999999999994"/>
    <n v="77.8"/>
    <n v="0"/>
    <n v="0"/>
    <n v="8.6999999999999993"/>
    <n v="12.6"/>
    <n v="48.2"/>
    <n v="7.4"/>
    <n v="49830"/>
    <x v="0"/>
  </r>
  <r>
    <s v="Social workers, all other"/>
    <s v="21-1029"/>
    <x v="8"/>
    <s v="Line item"/>
    <n v="0"/>
    <n v="81"/>
    <n v="84.1"/>
    <n v="0"/>
    <n v="0"/>
    <n v="3.1"/>
    <n v="3.9"/>
    <n v="14.5"/>
    <n v="7"/>
    <n v="69480"/>
    <x v="1"/>
  </r>
  <r>
    <s v="Community and social service specialists, all other"/>
    <s v="21-1099"/>
    <x v="8"/>
    <s v="Line item"/>
    <n v="0"/>
    <n v="119.2"/>
    <n v="124.7"/>
    <n v="0.1"/>
    <n v="0.1"/>
    <n v="5.5"/>
    <n v="4.5999999999999996"/>
    <n v="0.6"/>
    <n v="13.1"/>
    <n v="54940"/>
    <x v="1"/>
  </r>
  <r>
    <s v="Religious workers, all other"/>
    <s v="21-2099"/>
    <x v="8"/>
    <s v="Line item"/>
    <n v="0"/>
    <n v="88.4"/>
    <n v="89"/>
    <n v="0.1"/>
    <n v="0.1"/>
    <n v="0.6"/>
    <n v="0.6"/>
    <n v="6.5"/>
    <n v="11.1"/>
    <n v="45120"/>
    <x v="1"/>
  </r>
  <r>
    <s v="Legal support workers, all other"/>
    <s v="23-2099"/>
    <x v="3"/>
    <s v="Line item"/>
    <n v="0"/>
    <n v="51.3"/>
    <n v="50.7"/>
    <n v="0"/>
    <n v="0"/>
    <n v="-0.6"/>
    <n v="-1.2"/>
    <n v="2.8"/>
    <n v="4.7"/>
    <n v="68760"/>
    <x v="4"/>
  </r>
  <r>
    <s v="Social sciences teachers, postsecondary, all other"/>
    <s v="25-1069"/>
    <x v="6"/>
    <s v="Line item"/>
    <n v="0"/>
    <n v="20.7"/>
    <n v="21.1"/>
    <n v="0"/>
    <n v="0"/>
    <n v="0.4"/>
    <n v="1.7"/>
    <s v="—"/>
    <n v="1.5"/>
    <n v="75040"/>
    <x v="2"/>
  </r>
  <r>
    <s v="Postsecondary teachers, all other"/>
    <s v="25-1199"/>
    <x v="6"/>
    <s v="Line item"/>
    <n v="0"/>
    <n v="183.4"/>
    <n v="186.8"/>
    <n v="0.1"/>
    <n v="0.1"/>
    <n v="3.4"/>
    <n v="1.8"/>
    <n v="0.3"/>
    <n v="13.5"/>
    <n v="78490"/>
    <x v="2"/>
  </r>
  <r>
    <s v="Special education teachers, middle school"/>
    <s v="25-2057"/>
    <x v="6"/>
    <s v="Line item"/>
    <n v="0"/>
    <n v="94.8"/>
    <n v="93"/>
    <n v="0.1"/>
    <n v="0.1"/>
    <n v="-1.8"/>
    <n v="-1.9"/>
    <n v="0.3"/>
    <n v="6.3"/>
    <n v="64880"/>
    <x v="1"/>
  </r>
  <r>
    <s v="Special education teachers, secondary school"/>
    <s v="25-2058"/>
    <x v="6"/>
    <s v="Line item"/>
    <n v="0"/>
    <n v="164.2"/>
    <n v="161.5"/>
    <n v="0.1"/>
    <n v="0.1"/>
    <n v="-2.6"/>
    <n v="-1.6"/>
    <n v="0.5"/>
    <n v="11.1"/>
    <n v="69590"/>
    <x v="1"/>
  </r>
  <r>
    <s v="Substitute teachers, short-term"/>
    <s v="25-3031"/>
    <x v="6"/>
    <s v="Line item"/>
    <n v="0"/>
    <n v="510.1"/>
    <n v="518.5"/>
    <n v="0.3"/>
    <n v="0.3"/>
    <n v="8.4"/>
    <n v="1.6"/>
    <n v="5"/>
    <n v="61.1"/>
    <n v="38470"/>
    <x v="1"/>
  </r>
  <r>
    <s v="Tutors"/>
    <s v="25-3041"/>
    <x v="6"/>
    <s v="Line item"/>
    <n v="0"/>
    <n v="215.5"/>
    <n v="216.8"/>
    <n v="0.1"/>
    <n v="0.1"/>
    <n v="1.3"/>
    <n v="0.6"/>
    <n v="13.7"/>
    <n v="37.1"/>
    <n v="40090"/>
    <x v="7"/>
  </r>
  <r>
    <s v="Librarians and media collections specialists"/>
    <s v="25-4022"/>
    <x v="6"/>
    <s v="Line item"/>
    <n v="0"/>
    <n v="142.1"/>
    <n v="144.5"/>
    <n v="0.1"/>
    <n v="0.1"/>
    <n v="2.4"/>
    <n v="1.7"/>
    <n v="0.9"/>
    <n v="13.5"/>
    <n v="64320"/>
    <x v="0"/>
  </r>
  <r>
    <s v="Teaching assistants, postsecondary"/>
    <s v="25-9044"/>
    <x v="6"/>
    <s v="Line item"/>
    <n v="0"/>
    <n v="193.6"/>
    <n v="199.6"/>
    <n v="0.1"/>
    <n v="0.1"/>
    <n v="6"/>
    <n v="3.1"/>
    <n v="0.1"/>
    <n v="24.6"/>
    <n v="44930"/>
    <x v="1"/>
  </r>
  <r>
    <s v="Teaching assistants, except postsecondary"/>
    <s v="25-9045"/>
    <x v="6"/>
    <s v="Line item"/>
    <n v="0"/>
    <n v="1422.8"/>
    <n v="1401.7"/>
    <n v="0.8"/>
    <n v="0.8"/>
    <n v="-21.1"/>
    <n v="-1.5"/>
    <n v="0.1"/>
    <n v="170.4"/>
    <n v="35240"/>
    <x v="7"/>
  </r>
  <r>
    <s v="Educational instruction and library workers, all other"/>
    <s v="25-9099"/>
    <x v="6"/>
    <s v="Line item"/>
    <n v="0"/>
    <n v="132"/>
    <n v="134"/>
    <n v="0.1"/>
    <n v="0.1"/>
    <n v="2"/>
    <n v="1.5"/>
    <n v="2.4"/>
    <n v="12.5"/>
    <n v="48400"/>
    <x v="1"/>
  </r>
  <r>
    <s v="Artists and related workers, all other"/>
    <s v="27-1019"/>
    <x v="11"/>
    <s v="Line item"/>
    <n v="0"/>
    <n v="13.9"/>
    <n v="14"/>
    <n v="0"/>
    <n v="0"/>
    <n v="0.1"/>
    <n v="0.8"/>
    <n v="44"/>
    <n v="1.2"/>
    <n v="72760"/>
    <x v="5"/>
  </r>
  <r>
    <s v="Designers, all other"/>
    <s v="27-1029"/>
    <x v="11"/>
    <s v="Line item"/>
    <n v="0"/>
    <n v="28.6"/>
    <n v="29.2"/>
    <n v="0"/>
    <n v="0"/>
    <n v="0.6"/>
    <n v="2"/>
    <n v="66.099999999999994"/>
    <n v="2.2000000000000002"/>
    <n v="66220"/>
    <x v="1"/>
  </r>
  <r>
    <s v="Disc jockeys, except radio"/>
    <s v="27-2091"/>
    <x v="11"/>
    <s v="Line item"/>
    <n v="0"/>
    <n v="15.4"/>
    <n v="16"/>
    <n v="0"/>
    <n v="0"/>
    <n v="0.6"/>
    <n v="3.8"/>
    <n v="46.9"/>
    <n v="1.5"/>
    <s v="—"/>
    <x v="3"/>
  </r>
  <r>
    <s v="Entertainers and performers, sports and related workers, all other"/>
    <s v="27-2099"/>
    <x v="11"/>
    <s v="Line item"/>
    <n v="0"/>
    <n v="35.799999999999997"/>
    <n v="38"/>
    <n v="0"/>
    <n v="0"/>
    <n v="2.1"/>
    <n v="6"/>
    <n v="56.2"/>
    <n v="4.4000000000000004"/>
    <s v="—"/>
    <x v="5"/>
  </r>
  <r>
    <s v="News analysts, reporters, and journalists"/>
    <s v="27-3023"/>
    <x v="11"/>
    <s v="Line item"/>
    <n v="0"/>
    <n v="49.3"/>
    <n v="47.4"/>
    <n v="0"/>
    <n v="0"/>
    <n v="-1.9"/>
    <n v="-3.9"/>
    <n v="15.6"/>
    <n v="4.0999999999999996"/>
    <n v="60280"/>
    <x v="1"/>
  </r>
  <r>
    <s v="Court reporters and simultaneous captioners"/>
    <s v="27-3092"/>
    <x v="11"/>
    <s v="Line item"/>
    <n v="0"/>
    <n v="17.7"/>
    <n v="17.7"/>
    <n v="0"/>
    <n v="0"/>
    <n v="0"/>
    <n v="-0.3"/>
    <n v="25.6"/>
    <n v="1.7"/>
    <n v="67310"/>
    <x v="6"/>
  </r>
  <r>
    <s v="Media and communication workers, all other"/>
    <s v="27-3099"/>
    <x v="11"/>
    <s v="Line item"/>
    <n v="0"/>
    <n v="34.299999999999997"/>
    <n v="35.299999999999997"/>
    <n v="0"/>
    <n v="0"/>
    <n v="0.9"/>
    <n v="2.7"/>
    <n v="26.7"/>
    <n v="3"/>
    <n v="71770"/>
    <x v="3"/>
  </r>
  <r>
    <s v="Lighting technicians"/>
    <s v="27-4015"/>
    <x v="11"/>
    <s v="Line item"/>
    <n v="0"/>
    <n v="12.1"/>
    <n v="11.5"/>
    <n v="0"/>
    <n v="0"/>
    <n v="-0.6"/>
    <n v="-4.5999999999999996"/>
    <n v="13.1"/>
    <n v="0.8"/>
    <n v="60560"/>
    <x v="6"/>
  </r>
  <r>
    <s v="Media and communication equipment workers, all other"/>
    <s v="27-4099"/>
    <x v="11"/>
    <s v="Line item"/>
    <n v="0"/>
    <n v="15.1"/>
    <n v="15.2"/>
    <n v="0"/>
    <n v="0"/>
    <n v="0.1"/>
    <n v="0.6"/>
    <n v="8.5"/>
    <n v="1.1000000000000001"/>
    <n v="67190"/>
    <x v="3"/>
  </r>
  <r>
    <s v="Dentists, all other specialists"/>
    <s v="29-1029"/>
    <x v="0"/>
    <s v="Line item"/>
    <n v="0"/>
    <n v="6.6"/>
    <n v="6.6"/>
    <n v="0"/>
    <n v="0"/>
    <n v="0"/>
    <n v="0.3"/>
    <n v="7.4"/>
    <n v="0.2"/>
    <n v="225770"/>
    <x v="2"/>
  </r>
  <r>
    <s v="Therapists, all other"/>
    <s v="29-1129"/>
    <x v="0"/>
    <s v="Line item"/>
    <n v="0"/>
    <n v="56.1"/>
    <n v="62.5"/>
    <n v="0"/>
    <n v="0"/>
    <n v="6.4"/>
    <n v="11.5"/>
    <n v="63.3"/>
    <n v="4.0999999999999996"/>
    <n v="65010"/>
    <x v="1"/>
  </r>
  <r>
    <s v="Anesthesiologists"/>
    <s v="29-1211"/>
    <x v="0"/>
    <s v="Line item"/>
    <n v="0"/>
    <n v="45.3"/>
    <n v="46.7"/>
    <n v="0"/>
    <n v="0"/>
    <n v="1.4"/>
    <n v="3.2"/>
    <n v="4.7"/>
    <n v="1.3"/>
    <s v="&gt;=$239,200"/>
    <x v="2"/>
  </r>
  <r>
    <s v="Cardiologists"/>
    <s v="29-1212"/>
    <x v="0"/>
    <s v="Line item"/>
    <n v="0"/>
    <n v="19.399999999999999"/>
    <n v="20.2"/>
    <n v="0"/>
    <n v="0"/>
    <n v="0.8"/>
    <n v="4.0999999999999996"/>
    <n v="4.7"/>
    <n v="0.6"/>
    <s v="&gt;=$239,200"/>
    <x v="2"/>
  </r>
  <r>
    <s v="Dermatologists"/>
    <s v="29-1213"/>
    <x v="0"/>
    <s v="Line item"/>
    <n v="0"/>
    <n v="10.9"/>
    <n v="11.6"/>
    <n v="0"/>
    <n v="0"/>
    <n v="0.7"/>
    <n v="6.4"/>
    <n v="4.8"/>
    <n v="0.4"/>
    <s v="&gt;=$239,200"/>
    <x v="2"/>
  </r>
  <r>
    <s v="Emergency medicine physicians"/>
    <s v="29-1214"/>
    <x v="0"/>
    <s v="Line item"/>
    <n v="0"/>
    <n v="36.1"/>
    <n v="37.1"/>
    <n v="0"/>
    <n v="0"/>
    <n v="1"/>
    <n v="2.7"/>
    <n v="4.5999999999999996"/>
    <n v="1"/>
    <s v="&gt;=$239,200"/>
    <x v="2"/>
  </r>
  <r>
    <s v="Family medicine physicians"/>
    <s v="29-1215"/>
    <x v="0"/>
    <s v="Line item"/>
    <n v="0"/>
    <n v="116"/>
    <n v="119.1"/>
    <n v="0.1"/>
    <n v="0.1"/>
    <n v="3.1"/>
    <n v="2.7"/>
    <n v="4.5"/>
    <n v="3.3"/>
    <n v="238380"/>
    <x v="2"/>
  </r>
  <r>
    <s v="General internal medicine physicians"/>
    <s v="29-1216"/>
    <x v="0"/>
    <s v="Line item"/>
    <n v="0"/>
    <n v="73.2"/>
    <n v="75.599999999999994"/>
    <n v="0"/>
    <n v="0"/>
    <n v="2.4"/>
    <n v="3.3"/>
    <n v="4.3"/>
    <n v="2.1"/>
    <n v="236350"/>
    <x v="2"/>
  </r>
  <r>
    <s v="Neurologists"/>
    <s v="29-1217"/>
    <x v="0"/>
    <s v="Line item"/>
    <n v="0"/>
    <n v="8.3000000000000007"/>
    <n v="8.8000000000000007"/>
    <n v="0"/>
    <n v="0"/>
    <n v="0.5"/>
    <n v="5.4"/>
    <n v="4.5999999999999996"/>
    <n v="0.3"/>
    <s v="&gt;=$239,200"/>
    <x v="2"/>
  </r>
  <r>
    <s v="Obstetricians and gynecologists"/>
    <s v="29-1218"/>
    <x v="0"/>
    <s v="Line item"/>
    <n v="0"/>
    <n v="21.5"/>
    <n v="21.7"/>
    <n v="0"/>
    <n v="0"/>
    <n v="0.3"/>
    <n v="1.2"/>
    <n v="4.7"/>
    <n v="0.6"/>
    <s v="&gt;=$239,200"/>
    <x v="2"/>
  </r>
  <r>
    <s v="Pediatricians, general"/>
    <s v="29-1221"/>
    <x v="0"/>
    <s v="Line item"/>
    <n v="0"/>
    <n v="46.4"/>
    <n v="46.8"/>
    <n v="0"/>
    <n v="0"/>
    <n v="0.4"/>
    <n v="0.8"/>
    <n v="4.5999999999999996"/>
    <n v="1.2"/>
    <n v="210130"/>
    <x v="2"/>
  </r>
  <r>
    <s v="Physicians, pathologists"/>
    <s v="29-1222"/>
    <x v="0"/>
    <s v="Line item"/>
    <n v="0"/>
    <n v="12.6"/>
    <n v="13.1"/>
    <n v="0"/>
    <n v="0"/>
    <n v="0.5"/>
    <n v="4.2"/>
    <n v="4.5"/>
    <n v="0.4"/>
    <s v="&gt;=$239,200"/>
    <x v="2"/>
  </r>
  <r>
    <s v="Psychiatrists"/>
    <s v="29-1223"/>
    <x v="0"/>
    <s v="Line item"/>
    <n v="0"/>
    <n v="27.1"/>
    <n v="28.8"/>
    <n v="0"/>
    <n v="0"/>
    <n v="1.7"/>
    <n v="6.1"/>
    <n v="3.7"/>
    <n v="0.9"/>
    <s v="&gt;=$239,200"/>
    <x v="2"/>
  </r>
  <r>
    <s v="Radiologists"/>
    <s v="29-1224"/>
    <x v="0"/>
    <s v="Line item"/>
    <n v="0"/>
    <n v="28.2"/>
    <n v="29"/>
    <n v="0"/>
    <n v="0"/>
    <n v="0.8"/>
    <n v="2.7"/>
    <n v="4.7"/>
    <n v="0.8"/>
    <s v="&gt;=$239,200"/>
    <x v="2"/>
  </r>
  <r>
    <s v="Physicians, all other"/>
    <s v="29-1229"/>
    <x v="0"/>
    <s v="Line item"/>
    <n v="0"/>
    <n v="340.7"/>
    <n v="349.3"/>
    <n v="0.2"/>
    <n v="0.2"/>
    <n v="8.6"/>
    <n v="2.5"/>
    <n v="3.9"/>
    <n v="9.6"/>
    <s v="&gt;=$239,200"/>
    <x v="2"/>
  </r>
  <r>
    <s v="Ophthalmologists, except pediatric"/>
    <s v="29-1241"/>
    <x v="0"/>
    <s v="Line item"/>
    <n v="0"/>
    <n v="12.5"/>
    <n v="13.1"/>
    <n v="0"/>
    <n v="0"/>
    <n v="0.5"/>
    <n v="4.3"/>
    <n v="0.7"/>
    <n v="0.3"/>
    <s v="&gt;=$239,200"/>
    <x v="2"/>
  </r>
  <r>
    <s v="Orthopedic surgeons, except pediatric"/>
    <s v="29-1242"/>
    <x v="0"/>
    <s v="Line item"/>
    <n v="0"/>
    <n v="14.7"/>
    <n v="15.3"/>
    <n v="0"/>
    <n v="0"/>
    <n v="0.6"/>
    <n v="4.0999999999999996"/>
    <n v="0.7"/>
    <n v="0.4"/>
    <s v="&gt;=$239,200"/>
    <x v="2"/>
  </r>
  <r>
    <s v="Pediatric surgeons"/>
    <s v="29-1243"/>
    <x v="0"/>
    <s v="Line item"/>
    <n v="0"/>
    <n v="1.1000000000000001"/>
    <n v="1.1000000000000001"/>
    <n v="0"/>
    <n v="0"/>
    <n v="0"/>
    <n v="1.5"/>
    <s v="—"/>
    <n v="0"/>
    <s v="&gt;=$239,200"/>
    <x v="2"/>
  </r>
  <r>
    <s v="Surgeons, all other"/>
    <s v="29-1249"/>
    <x v="0"/>
    <s v="Line item"/>
    <n v="0"/>
    <n v="25.1"/>
    <n v="26"/>
    <n v="0"/>
    <n v="0"/>
    <n v="1"/>
    <n v="3.9"/>
    <n v="0.7"/>
    <n v="0.6"/>
    <s v="&gt;=$239,200"/>
    <x v="2"/>
  </r>
  <r>
    <s v="Acupuncturists"/>
    <s v="29-1291"/>
    <x v="0"/>
    <s v="Line item"/>
    <n v="0"/>
    <n v="15.3"/>
    <n v="16.399999999999999"/>
    <n v="0"/>
    <n v="0"/>
    <n v="1"/>
    <n v="6.8"/>
    <n v="44.1"/>
    <n v="0.9"/>
    <n v="78140"/>
    <x v="0"/>
  </r>
  <r>
    <s v="Dental hygienists"/>
    <s v="29-1292"/>
    <x v="0"/>
    <s v="Line item"/>
    <n v="0"/>
    <n v="221.6"/>
    <n v="237.2"/>
    <n v="0.1"/>
    <n v="0.1"/>
    <n v="15.5"/>
    <n v="7"/>
    <n v="0.5"/>
    <n v="15.3"/>
    <n v="94260"/>
    <x v="4"/>
  </r>
  <r>
    <s v="Healthcare diagnosing or treating practitioners, all other"/>
    <s v="29-1299"/>
    <x v="0"/>
    <s v="Line item"/>
    <n v="0"/>
    <n v="41.3"/>
    <n v="42.2"/>
    <n v="0"/>
    <n v="0"/>
    <n v="0.8"/>
    <n v="2"/>
    <n v="20.3"/>
    <n v="2.4"/>
    <n v="113730"/>
    <x v="0"/>
  </r>
  <r>
    <s v="Clinical laboratory technologists and technicians"/>
    <s v="29-2010"/>
    <x v="0"/>
    <s v="Line item"/>
    <n v="0"/>
    <n v="351.2"/>
    <n v="357.2"/>
    <n v="0.2"/>
    <n v="0.2"/>
    <n v="6"/>
    <n v="1.7"/>
    <n v="0.5"/>
    <n v="22.6"/>
    <n v="61890"/>
    <x v="1"/>
  </r>
  <r>
    <s v="Medical dosimetrists"/>
    <s v="29-2036"/>
    <x v="0"/>
    <s v="Line item"/>
    <n v="0"/>
    <n v="4.8"/>
    <n v="4.9000000000000004"/>
    <n v="0"/>
    <n v="0"/>
    <n v="0.2"/>
    <n v="3.5"/>
    <n v="13.8"/>
    <n v="0.2"/>
    <n v="138110"/>
    <x v="1"/>
  </r>
  <r>
    <s v="Emergency medical technicians"/>
    <s v="29-2042"/>
    <x v="0"/>
    <s v="Line item"/>
    <n v="0"/>
    <n v="181"/>
    <n v="190.2"/>
    <n v="0.1"/>
    <n v="0.1"/>
    <n v="9.1999999999999993"/>
    <n v="5.0999999999999996"/>
    <s v="—"/>
    <n v="14.1"/>
    <n v="41340"/>
    <x v="6"/>
  </r>
  <r>
    <s v="Paramedics"/>
    <s v="29-2043"/>
    <x v="0"/>
    <s v="Line item"/>
    <n v="0"/>
    <n v="101.9"/>
    <n v="107"/>
    <n v="0.1"/>
    <n v="0.1"/>
    <n v="5.0999999999999996"/>
    <n v="5"/>
    <s v="—"/>
    <n v="4.9000000000000004"/>
    <n v="58410"/>
    <x v="6"/>
  </r>
  <r>
    <s v="Medical records specialists"/>
    <s v="29-2072"/>
    <x v="0"/>
    <s v="Line item"/>
    <n v="0"/>
    <n v="194.8"/>
    <n v="208.6"/>
    <n v="0.1"/>
    <n v="0.1"/>
    <n v="13.8"/>
    <n v="7.1"/>
    <n v="0.8"/>
    <n v="14.2"/>
    <n v="50250"/>
    <x v="6"/>
  </r>
  <r>
    <s v="Health information technologists and medical registrars"/>
    <s v="29-9021"/>
    <x v="0"/>
    <s v="Line item"/>
    <n v="0"/>
    <n v="41.9"/>
    <n v="48.1"/>
    <n v="0"/>
    <n v="0"/>
    <n v="6.2"/>
    <n v="14.7"/>
    <n v="7.8"/>
    <n v="3.2"/>
    <n v="67310"/>
    <x v="4"/>
  </r>
  <r>
    <s v="Surgical assistants"/>
    <s v="29-9093"/>
    <x v="0"/>
    <s v="Line item"/>
    <n v="0"/>
    <n v="25.3"/>
    <n v="26.6"/>
    <n v="0"/>
    <n v="0"/>
    <n v="1.3"/>
    <n v="5.0999999999999996"/>
    <n v="8.6"/>
    <n v="1.6"/>
    <n v="60290"/>
    <x v="6"/>
  </r>
  <r>
    <s v="Home health and personal care aides"/>
    <s v="31-1120"/>
    <x v="13"/>
    <s v="Line item"/>
    <n v="0"/>
    <n v="4347.7"/>
    <n v="5087.5"/>
    <n v="2.6"/>
    <n v="2.9"/>
    <n v="739.8"/>
    <n v="17"/>
    <n v="2.8"/>
    <n v="765.8"/>
    <n v="34900"/>
    <x v="3"/>
  </r>
  <r>
    <s v="Nursing assistants"/>
    <s v="31-1131"/>
    <x v="13"/>
    <s v="Line item"/>
    <n v="0"/>
    <n v="1441.5"/>
    <n v="1474"/>
    <n v="0.8"/>
    <n v="0.8"/>
    <n v="32.6"/>
    <n v="2.2999999999999998"/>
    <n v="1.3"/>
    <n v="204.1"/>
    <n v="39530"/>
    <x v="6"/>
  </r>
  <r>
    <s v="Orderlies"/>
    <s v="31-1132"/>
    <x v="13"/>
    <s v="Line item"/>
    <n v="0"/>
    <n v="54"/>
    <n v="55.8"/>
    <n v="0"/>
    <n v="0"/>
    <n v="1.8"/>
    <n v="3.3"/>
    <s v="—"/>
    <n v="7.8"/>
    <n v="37700"/>
    <x v="3"/>
  </r>
  <r>
    <s v="Psychiatric aides"/>
    <s v="31-1133"/>
    <x v="13"/>
    <s v="Line item"/>
    <n v="0"/>
    <n v="38.5"/>
    <n v="38.299999999999997"/>
    <n v="0"/>
    <n v="0"/>
    <n v="-0.1"/>
    <n v="-0.4"/>
    <n v="1.8"/>
    <n v="5.3"/>
    <n v="41590"/>
    <x v="3"/>
  </r>
  <r>
    <s v="First-line supervisors of security workers"/>
    <s v="33-1091"/>
    <x v="16"/>
    <s v="Line item"/>
    <n v="0"/>
    <n v="71.900000000000006"/>
    <n v="73.8"/>
    <n v="0"/>
    <n v="0"/>
    <n v="1.9"/>
    <n v="2.7"/>
    <n v="0.7"/>
    <n v="7"/>
    <n v="58610"/>
    <x v="3"/>
  </r>
  <r>
    <s v="First-line supervisors of protective service workers, all other"/>
    <s v="33-1099"/>
    <x v="16"/>
    <s v="Line item"/>
    <n v="0"/>
    <n v="21.5"/>
    <n v="21.8"/>
    <n v="0"/>
    <n v="0"/>
    <n v="0.3"/>
    <n v="1.6"/>
    <n v="0.3"/>
    <n v="2.1"/>
    <n v="74960"/>
    <x v="3"/>
  </r>
  <r>
    <s v="School bus monitors"/>
    <s v="33-9094"/>
    <x v="16"/>
    <s v="Line item"/>
    <n v="0"/>
    <n v="71.400000000000006"/>
    <n v="69.5"/>
    <n v="0"/>
    <n v="0"/>
    <n v="-2"/>
    <n v="-2.7"/>
    <s v="—"/>
    <n v="12.6"/>
    <n v="34980"/>
    <x v="3"/>
  </r>
  <r>
    <s v="Cooks, all other"/>
    <s v="35-2019"/>
    <x v="20"/>
    <s v="Line item"/>
    <n v="0"/>
    <n v="24"/>
    <n v="25.3"/>
    <n v="0"/>
    <n v="0"/>
    <n v="1.3"/>
    <n v="5.5"/>
    <s v="—"/>
    <n v="3.7"/>
    <n v="36210"/>
    <x v="5"/>
  </r>
  <r>
    <s v="Fast food and counter workers"/>
    <s v="35-3023"/>
    <x v="20"/>
    <s v="Line item"/>
    <n v="0"/>
    <n v="3796"/>
    <n v="4029.2"/>
    <n v="2.2000000000000002"/>
    <n v="2.2999999999999998"/>
    <n v="233.2"/>
    <n v="6.1"/>
    <n v="0.1"/>
    <n v="904.3"/>
    <n v="30480"/>
    <x v="5"/>
  </r>
  <r>
    <s v="Food preparation and serving related workers, all other"/>
    <s v="35-9099"/>
    <x v="20"/>
    <s v="Line item"/>
    <n v="0"/>
    <n v="90.5"/>
    <n v="96.3"/>
    <n v="0.1"/>
    <n v="0.1"/>
    <n v="5.8"/>
    <n v="6.4"/>
    <s v="—"/>
    <n v="14.6"/>
    <n v="34830"/>
    <x v="5"/>
  </r>
  <r>
    <s v="Building cleaning workers, all other"/>
    <s v="37-2019"/>
    <x v="21"/>
    <s v="Line item"/>
    <n v="0"/>
    <n v="18.100000000000001"/>
    <n v="18.5"/>
    <n v="0"/>
    <n v="0"/>
    <n v="0.5"/>
    <n v="2.5"/>
    <n v="6.8"/>
    <n v="2.6"/>
    <n v="42360"/>
    <x v="5"/>
  </r>
  <r>
    <s v="Grounds maintenance workers, all other"/>
    <s v="37-3019"/>
    <x v="21"/>
    <s v="Line item"/>
    <n v="0"/>
    <n v="14.1"/>
    <n v="14.5"/>
    <n v="0"/>
    <n v="0"/>
    <n v="0.3"/>
    <n v="2.4"/>
    <n v="1.4"/>
    <n v="1.9"/>
    <n v="43410"/>
    <x v="5"/>
  </r>
  <r>
    <s v="First-line supervisors of gambling services workers"/>
    <s v="39-1013"/>
    <x v="14"/>
    <s v="Line item"/>
    <n v="0"/>
    <n v="32.5"/>
    <n v="33.1"/>
    <n v="0"/>
    <n v="0"/>
    <n v="0.6"/>
    <n v="2"/>
    <n v="19.100000000000001"/>
    <n v="3.3"/>
    <n v="61590"/>
    <x v="3"/>
  </r>
  <r>
    <s v="First-line supervisors of entertainment and recreation workers, except gambling services"/>
    <s v="39-1014"/>
    <x v="14"/>
    <s v="Line item"/>
    <n v="0"/>
    <n v="123.3"/>
    <n v="131.1"/>
    <n v="0.1"/>
    <n v="0.1"/>
    <n v="7.8"/>
    <n v="6.3"/>
    <n v="21.5"/>
    <n v="13.4"/>
    <n v="46900"/>
    <x v="3"/>
  </r>
  <r>
    <s v="First-line supervisors of personal service workers"/>
    <s v="39-1022"/>
    <x v="14"/>
    <s v="Line item"/>
    <n v="0"/>
    <n v="149.1"/>
    <n v="159.1"/>
    <n v="0.1"/>
    <n v="0.1"/>
    <n v="10"/>
    <n v="6.7"/>
    <n v="24.7"/>
    <n v="16.3"/>
    <n v="47080"/>
    <x v="3"/>
  </r>
  <r>
    <s v="Gambling service workers, all other"/>
    <s v="39-3019"/>
    <x v="14"/>
    <s v="Line item"/>
    <n v="0"/>
    <n v="16.100000000000001"/>
    <n v="16"/>
    <n v="0"/>
    <n v="0"/>
    <n v="-0.1"/>
    <n v="-0.6"/>
    <n v="3.9"/>
    <n v="2.6"/>
    <n v="34530"/>
    <x v="3"/>
  </r>
  <r>
    <s v="Entertainment attendants and related workers, all other"/>
    <s v="39-3099"/>
    <x v="14"/>
    <s v="Line item"/>
    <n v="0"/>
    <n v="8.5"/>
    <n v="8.8000000000000007"/>
    <n v="0"/>
    <n v="0"/>
    <n v="0.3"/>
    <n v="3.6"/>
    <n v="1.1000000000000001"/>
    <n v="2.2000000000000002"/>
    <n v="34550"/>
    <x v="3"/>
  </r>
  <r>
    <s v="Crematory operators"/>
    <s v="39-4012"/>
    <x v="14"/>
    <s v="Line item"/>
    <n v="0"/>
    <n v="3.1"/>
    <n v="3.2"/>
    <n v="0"/>
    <n v="0"/>
    <n v="0.1"/>
    <n v="3.3"/>
    <n v="4.8"/>
    <n v="0.6"/>
    <n v="42880"/>
    <x v="3"/>
  </r>
  <r>
    <s v="Tour and travel guides"/>
    <s v="39-7010"/>
    <x v="14"/>
    <s v="Line item"/>
    <n v="0"/>
    <n v="55.8"/>
    <n v="60.3"/>
    <n v="0"/>
    <n v="0"/>
    <n v="4.5"/>
    <n v="8.1"/>
    <n v="9.8000000000000007"/>
    <n v="13"/>
    <n v="36660"/>
    <x v="3"/>
  </r>
  <r>
    <s v="Personal care and service workers, all other"/>
    <s v="39-9099"/>
    <x v="14"/>
    <s v="Line item"/>
    <n v="0"/>
    <n v="94.4"/>
    <n v="100.4"/>
    <n v="0.1"/>
    <n v="0.1"/>
    <n v="6"/>
    <n v="6.4"/>
    <n v="26.1"/>
    <n v="16.100000000000001"/>
    <n v="37900"/>
    <x v="3"/>
  </r>
  <r>
    <s v="Sales representatives of services, except advertising, insurance, financial services, and travel"/>
    <s v="41-3091"/>
    <x v="10"/>
    <s v="Line item"/>
    <n v="0"/>
    <n v="1226.7"/>
    <n v="1264.7"/>
    <n v="0.7"/>
    <n v="0.7"/>
    <n v="37.9"/>
    <n v="3.1"/>
    <n v="2.1"/>
    <n v="123"/>
    <n v="66260"/>
    <x v="3"/>
  </r>
  <r>
    <s v="Sales and related workers, all other"/>
    <s v="41-9099"/>
    <x v="10"/>
    <s v="Line item"/>
    <n v="0"/>
    <n v="122.6"/>
    <n v="127.1"/>
    <n v="0.1"/>
    <n v="0.1"/>
    <n v="4.5"/>
    <n v="3.7"/>
    <n v="14.8"/>
    <n v="16"/>
    <n v="46370"/>
    <x v="3"/>
  </r>
  <r>
    <s v="Communications equipment operators, all other"/>
    <s v="43-2099"/>
    <x v="4"/>
    <s v="Line item"/>
    <n v="0"/>
    <n v="1.4"/>
    <n v="1.5"/>
    <n v="0"/>
    <n v="0"/>
    <n v="0"/>
    <n v="2.5"/>
    <s v="—"/>
    <n v="0.1"/>
    <n v="49910"/>
    <x v="3"/>
  </r>
  <r>
    <s v="Financial clerks, all other"/>
    <s v="43-3099"/>
    <x v="4"/>
    <s v="Line item"/>
    <n v="0"/>
    <n v="38.9"/>
    <n v="39.4"/>
    <n v="0"/>
    <n v="0"/>
    <n v="0.5"/>
    <n v="1.4"/>
    <n v="2.7"/>
    <n v="4"/>
    <n v="52150"/>
    <x v="3"/>
  </r>
  <r>
    <s v="Information and record clerks, all other"/>
    <s v="43-4199"/>
    <x v="4"/>
    <s v="Line item"/>
    <n v="0"/>
    <n v="153.30000000000001"/>
    <n v="153"/>
    <n v="0.1"/>
    <n v="0.1"/>
    <n v="-0.3"/>
    <n v="-0.2"/>
    <s v="—"/>
    <n v="17.8"/>
    <n v="48360"/>
    <x v="3"/>
  </r>
  <r>
    <s v="Office and administrative support workers, all other"/>
    <s v="43-9199"/>
    <x v="4"/>
    <s v="Line item"/>
    <n v="0"/>
    <n v="232.9"/>
    <n v="214.8"/>
    <n v="0.1"/>
    <n v="0.1"/>
    <n v="-18.100000000000001"/>
    <n v="-7.8"/>
    <n v="9.8000000000000007"/>
    <n v="21.3"/>
    <n v="46040"/>
    <x v="3"/>
  </r>
  <r>
    <s v="Agricultural workers, all other"/>
    <s v="45-2099"/>
    <x v="18"/>
    <s v="Line item"/>
    <n v="0"/>
    <n v="10.1"/>
    <n v="10.3"/>
    <n v="0"/>
    <n v="0"/>
    <n v="0.2"/>
    <n v="2.2999999999999998"/>
    <n v="5.8"/>
    <n v="1.5"/>
    <n v="40390"/>
    <x v="5"/>
  </r>
  <r>
    <s v="Fishing and hunting workers"/>
    <s v="45-3031"/>
    <x v="18"/>
    <s v="Line item"/>
    <n v="0"/>
    <n v="21.9"/>
    <n v="20.9"/>
    <n v="0"/>
    <n v="0"/>
    <n v="-1"/>
    <n v="-4.5999999999999996"/>
    <n v="57.1"/>
    <n v="2.8"/>
    <s v="—"/>
    <x v="5"/>
  </r>
  <r>
    <s v="Logging workers, all other"/>
    <s v="45-4029"/>
    <x v="18"/>
    <s v="Line item"/>
    <n v="0"/>
    <n v="3.1"/>
    <n v="3"/>
    <n v="0"/>
    <n v="0"/>
    <n v="-0.1"/>
    <n v="-4.7"/>
    <n v="27.6"/>
    <n v="0.4"/>
    <n v="52000"/>
    <x v="3"/>
  </r>
  <r>
    <s v="Helpers, construction trades, all other"/>
    <s v="47-3019"/>
    <x v="17"/>
    <s v="Line item"/>
    <n v="0"/>
    <n v="26.3"/>
    <n v="27.4"/>
    <n v="0"/>
    <n v="0"/>
    <n v="1.2"/>
    <n v="4.4000000000000004"/>
    <n v="1.7"/>
    <n v="2.8"/>
    <n v="40760"/>
    <x v="5"/>
  </r>
  <r>
    <s v="Miscellaneous construction and related workers"/>
    <s v="47-4090"/>
    <x v="17"/>
    <s v="Line item"/>
    <n v="0"/>
    <n v="35"/>
    <n v="36.200000000000003"/>
    <n v="0"/>
    <n v="0"/>
    <n v="1.2"/>
    <n v="3.5"/>
    <n v="3.2"/>
    <n v="3.1"/>
    <n v="48120"/>
    <x v="3"/>
  </r>
  <r>
    <s v="Excavating and loading machine and dragline operators, surface mining"/>
    <s v="47-5022"/>
    <x v="17"/>
    <s v="Line item"/>
    <n v="0"/>
    <n v="35.799999999999997"/>
    <n v="35.6"/>
    <n v="0"/>
    <n v="0"/>
    <n v="-0.1"/>
    <n v="-0.4"/>
    <n v="3.2"/>
    <n v="3.1"/>
    <n v="52550"/>
    <x v="3"/>
  </r>
  <r>
    <s v="Earth drillers, except oil and gas"/>
    <s v="47-5023"/>
    <x v="17"/>
    <s v="Line item"/>
    <n v="0"/>
    <n v="18.3"/>
    <n v="18.8"/>
    <n v="0"/>
    <n v="0"/>
    <n v="0.5"/>
    <n v="2.9"/>
    <n v="3.3"/>
    <n v="1.7"/>
    <n v="59600"/>
    <x v="3"/>
  </r>
  <r>
    <s v="Explosives workers, ordnance handling experts, and blasters"/>
    <s v="47-5032"/>
    <x v="17"/>
    <s v="Line item"/>
    <n v="0"/>
    <n v="5.8"/>
    <n v="5.8"/>
    <n v="0"/>
    <n v="0"/>
    <n v="-0.1"/>
    <n v="-0.9"/>
    <s v="—"/>
    <n v="0.5"/>
    <n v="59110"/>
    <x v="3"/>
  </r>
  <r>
    <s v="Roof bolters, mining"/>
    <s v="47-5043"/>
    <x v="17"/>
    <s v="Line item"/>
    <n v="0"/>
    <n v="2.2999999999999998"/>
    <n v="1.5"/>
    <n v="0"/>
    <n v="0"/>
    <n v="-0.8"/>
    <n v="-34.200000000000003"/>
    <n v="2.8"/>
    <n v="0.1"/>
    <n v="76640"/>
    <x v="3"/>
  </r>
  <r>
    <s v="Loading and moving machine operators, underground mining"/>
    <s v="47-5044"/>
    <x v="17"/>
    <s v="Line item"/>
    <n v="0"/>
    <n v="6.4"/>
    <n v="5"/>
    <n v="0"/>
    <n v="0"/>
    <n v="-1.4"/>
    <n v="-22.3"/>
    <n v="2.8"/>
    <n v="0.5"/>
    <n v="68860"/>
    <x v="5"/>
  </r>
  <r>
    <s v="Underground mining machine operators, all other"/>
    <s v="47-5049"/>
    <x v="17"/>
    <s v="Line item"/>
    <n v="0"/>
    <n v="3.6"/>
    <n v="3.4"/>
    <n v="0"/>
    <n v="0"/>
    <n v="-0.2"/>
    <n v="-6.1"/>
    <n v="2.8"/>
    <n v="0.4"/>
    <n v="67220"/>
    <x v="5"/>
  </r>
  <r>
    <s v="Extraction workers, all other"/>
    <s v="47-5099"/>
    <x v="17"/>
    <s v="Line item"/>
    <n v="0"/>
    <n v="6.3"/>
    <n v="6.4"/>
    <n v="0"/>
    <n v="0"/>
    <n v="0.1"/>
    <n v="1.4"/>
    <n v="3.3"/>
    <n v="0.7"/>
    <n v="50110"/>
    <x v="3"/>
  </r>
  <r>
    <s v="Precision instrument and equipment repairers, all other"/>
    <s v="49-9069"/>
    <x v="19"/>
    <s v="Line item"/>
    <n v="0"/>
    <n v="10.8"/>
    <n v="11"/>
    <n v="0"/>
    <n v="0"/>
    <n v="0.2"/>
    <n v="2"/>
    <n v="7.7"/>
    <n v="1"/>
    <n v="67080"/>
    <x v="3"/>
  </r>
  <r>
    <s v="Electrical, electronic, and electromechanical assemblers, except coil winders, tapers, and finishers"/>
    <s v="51-2028"/>
    <x v="15"/>
    <s v="Line item"/>
    <n v="0"/>
    <n v="261.39999999999998"/>
    <n v="273.3"/>
    <n v="0.2"/>
    <n v="0.2"/>
    <n v="11.9"/>
    <n v="4.5999999999999996"/>
    <s v="—"/>
    <n v="29.6"/>
    <n v="44040"/>
    <x v="3"/>
  </r>
  <r>
    <s v="Fiberglass laminators and fabricators"/>
    <s v="51-2051"/>
    <x v="15"/>
    <s v="Line item"/>
    <n v="0"/>
    <n v="18.600000000000001"/>
    <n v="19.399999999999999"/>
    <n v="0"/>
    <n v="0"/>
    <n v="0.8"/>
    <n v="4.2"/>
    <n v="0.7"/>
    <n v="2.1"/>
    <n v="45760"/>
    <x v="3"/>
  </r>
  <r>
    <s v="Timing device assemblers and adjusters"/>
    <s v="51-2061"/>
    <x v="15"/>
    <s v="Line item"/>
    <n v="0"/>
    <n v="0.2"/>
    <n v="0.2"/>
    <n v="0"/>
    <n v="0"/>
    <n v="0"/>
    <n v="-17.5"/>
    <s v="—"/>
    <n v="0"/>
    <n v="40790"/>
    <x v="3"/>
  </r>
  <r>
    <s v="Miscellaneous assemblers and fabricators"/>
    <s v="51-2090"/>
    <x v="15"/>
    <s v="Line item"/>
    <n v="0"/>
    <n v="1467.1"/>
    <n v="1465.9"/>
    <n v="0.9"/>
    <n v="0.8"/>
    <n v="-1.3"/>
    <n v="-0.1"/>
    <n v="0.7"/>
    <n v="156.30000000000001"/>
    <n v="42210"/>
    <x v="3"/>
  </r>
  <r>
    <s v="Food processing workers, all other"/>
    <s v="51-3099"/>
    <x v="15"/>
    <s v="Line item"/>
    <n v="0"/>
    <n v="58.7"/>
    <n v="61.8"/>
    <n v="0"/>
    <n v="0"/>
    <n v="3.1"/>
    <n v="5.3"/>
    <n v="1.7"/>
    <n v="6.5"/>
    <n v="38420"/>
    <x v="5"/>
  </r>
  <r>
    <s v="Metal workers and plastic workers, all other"/>
    <s v="51-4199"/>
    <x v="15"/>
    <s v="Line item"/>
    <n v="0"/>
    <n v="20.399999999999999"/>
    <n v="18.5"/>
    <n v="0"/>
    <n v="0"/>
    <n v="-1.9"/>
    <n v="-9.5"/>
    <n v="1"/>
    <n v="1.7"/>
    <n v="42750"/>
    <x v="3"/>
  </r>
  <r>
    <s v="Textile, apparel, and furnishings workers, all other"/>
    <s v="51-6099"/>
    <x v="15"/>
    <s v="Line item"/>
    <n v="0"/>
    <n v="14.7"/>
    <n v="13.3"/>
    <n v="0"/>
    <n v="0"/>
    <n v="-1.4"/>
    <n v="-9.4"/>
    <s v="—"/>
    <n v="1.7"/>
    <n v="37010"/>
    <x v="3"/>
  </r>
  <r>
    <s v="Woodworkers, all other"/>
    <s v="51-7099"/>
    <x v="15"/>
    <s v="Line item"/>
    <n v="0"/>
    <n v="17.600000000000001"/>
    <n v="16.8"/>
    <n v="0"/>
    <n v="0"/>
    <n v="-0.8"/>
    <n v="-4.4000000000000004"/>
    <n v="59.5"/>
    <n v="1.8"/>
    <n v="41220"/>
    <x v="3"/>
  </r>
  <r>
    <s v="Coating, painting, and spraying machine setters, operators, and tenders"/>
    <s v="51-9124"/>
    <x v="15"/>
    <s v="Line item"/>
    <n v="0"/>
    <n v="165.5"/>
    <n v="166.7"/>
    <n v="0.1"/>
    <n v="0.1"/>
    <n v="1.2"/>
    <n v="0.7"/>
    <n v="3.6"/>
    <n v="15.8"/>
    <n v="47590"/>
    <x v="3"/>
  </r>
  <r>
    <s v="Computer numerically controlled tool operators"/>
    <s v="51-9161"/>
    <x v="15"/>
    <s v="Line item"/>
    <n v="0"/>
    <n v="177.1"/>
    <n v="158.1"/>
    <n v="0.1"/>
    <n v="0.1"/>
    <n v="-19"/>
    <n v="-10.7"/>
    <n v="0.2"/>
    <n v="13.5"/>
    <n v="49970"/>
    <x v="3"/>
  </r>
  <r>
    <s v="Computer numerically controlled tool programmers"/>
    <s v="51-9162"/>
    <x v="15"/>
    <s v="Line item"/>
    <n v="0"/>
    <n v="28.3"/>
    <n v="31.9"/>
    <n v="0"/>
    <n v="0"/>
    <n v="3.6"/>
    <n v="12.8"/>
    <s v="—"/>
    <n v="3.1"/>
    <n v="65670"/>
    <x v="6"/>
  </r>
  <r>
    <s v="Aircraft cargo handling supervisors"/>
    <s v="53-1041"/>
    <x v="12"/>
    <s v="Line item"/>
    <n v="0"/>
    <n v="10.3"/>
    <n v="10.8"/>
    <n v="0"/>
    <n v="0"/>
    <n v="0.5"/>
    <n v="5.2"/>
    <n v="0.8"/>
    <n v="1.1000000000000001"/>
    <n v="63940"/>
    <x v="3"/>
  </r>
  <r>
    <s v="First-line supervisors of transportation and material moving workers, except aircraft cargo handling supervisors"/>
    <s v="53-1047"/>
    <x v="12"/>
    <s v="Line item"/>
    <n v="0"/>
    <n v="609.6"/>
    <n v="632.20000000000005"/>
    <n v="0.4"/>
    <n v="0.4"/>
    <n v="22.5"/>
    <n v="3.7"/>
    <n v="0.8"/>
    <n v="61.3"/>
    <n v="61890"/>
    <x v="3"/>
  </r>
  <r>
    <s v="Bus drivers, school"/>
    <s v="53-3051"/>
    <x v="12"/>
    <s v="Line item"/>
    <n v="0"/>
    <n v="387.3"/>
    <n v="388.2"/>
    <n v="0.2"/>
    <n v="0.2"/>
    <n v="0.9"/>
    <n v="0.2"/>
    <n v="0.4"/>
    <n v="61"/>
    <n v="47040"/>
    <x v="3"/>
  </r>
  <r>
    <s v="Bus drivers, transit and intercity"/>
    <s v="53-3052"/>
    <x v="12"/>
    <s v="Line item"/>
    <n v="0"/>
    <n v="158.80000000000001"/>
    <n v="165.6"/>
    <n v="0.1"/>
    <n v="0.1"/>
    <n v="6.8"/>
    <n v="4.3"/>
    <n v="1.8"/>
    <n v="20.9"/>
    <n v="57440"/>
    <x v="3"/>
  </r>
  <r>
    <s v="Shuttle drivers and chauffeurs"/>
    <s v="53-3053"/>
    <x v="12"/>
    <s v="Line item"/>
    <n v="0"/>
    <n v="243.9"/>
    <n v="260.3"/>
    <n v="0.1"/>
    <n v="0.1"/>
    <n v="16.399999999999999"/>
    <n v="6.7"/>
    <n v="3.1"/>
    <n v="36.299999999999997"/>
    <n v="36670"/>
    <x v="5"/>
  </r>
  <r>
    <s v="Taxi drivers"/>
    <s v="53-3054"/>
    <x v="12"/>
    <s v="Line item"/>
    <n v="0"/>
    <n v="204"/>
    <n v="226.6"/>
    <n v="0.1"/>
    <n v="0.1"/>
    <n v="22.6"/>
    <n v="11.1"/>
    <n v="91.5"/>
    <n v="22.6"/>
    <n v="36220"/>
    <x v="5"/>
  </r>
  <r>
    <s v="Motor vehicle operators, all other"/>
    <s v="53-3099"/>
    <x v="12"/>
    <s v="Line item"/>
    <n v="0"/>
    <n v="79.3"/>
    <n v="84"/>
    <n v="0"/>
    <n v="0"/>
    <n v="4.7"/>
    <n v="6"/>
    <n v="34.799999999999997"/>
    <n v="11.1"/>
    <n v="36260"/>
    <x v="5"/>
  </r>
  <r>
    <s v="Railroad brake, signal, and switch operators and locomotive firers"/>
    <s v="53-4022"/>
    <x v="12"/>
    <s v="Line item"/>
    <n v="0"/>
    <n v="11"/>
    <n v="11.1"/>
    <n v="0"/>
    <n v="0"/>
    <n v="0.1"/>
    <n v="1"/>
    <s v="—"/>
    <n v="1"/>
    <n v="65480"/>
    <x v="3"/>
  </r>
  <r>
    <s v="Rail transportation workers, all other"/>
    <s v="53-4099"/>
    <x v="12"/>
    <s v="Line item"/>
    <n v="0"/>
    <n v="1.6"/>
    <n v="1.6"/>
    <n v="0"/>
    <n v="0"/>
    <n v="0.1"/>
    <n v="3.9"/>
    <s v="—"/>
    <n v="0.2"/>
    <n v="49330"/>
    <x v="3"/>
  </r>
  <r>
    <s v="Aircraft service attendants"/>
    <s v="53-6032"/>
    <x v="12"/>
    <s v="Line item"/>
    <n v="0"/>
    <n v="28"/>
    <n v="29.5"/>
    <n v="0"/>
    <n v="0"/>
    <n v="1.4"/>
    <n v="5.0999999999999996"/>
    <n v="0.8"/>
    <n v="4.3"/>
    <n v="41540"/>
    <x v="3"/>
  </r>
  <r>
    <s v="Transportation workers, all other"/>
    <s v="53-6099"/>
    <x v="12"/>
    <s v="Line item"/>
    <n v="0"/>
    <n v="11.5"/>
    <n v="11.9"/>
    <n v="0"/>
    <n v="0"/>
    <n v="0.4"/>
    <n v="3.8"/>
    <n v="2.9"/>
    <n v="1.2"/>
    <n v="39630"/>
    <x v="3"/>
  </r>
  <r>
    <s v="Stockers and order fillers"/>
    <s v="53-7065"/>
    <x v="12"/>
    <s v="Line item"/>
    <n v="0"/>
    <n v="2764.8"/>
    <n v="2999.8"/>
    <n v="1.6"/>
    <n v="1.7"/>
    <n v="235"/>
    <n v="8.5"/>
    <n v="0.2"/>
    <n v="472.3"/>
    <n v="37090"/>
    <x v="5"/>
  </r>
  <r>
    <s v="Material moving workers, all other"/>
    <s v="53-7199"/>
    <x v="12"/>
    <s v="Line item"/>
    <n v="0"/>
    <n v="27.7"/>
    <n v="28.9"/>
    <n v="0"/>
    <n v="0"/>
    <n v="1.2"/>
    <n v="4.3"/>
    <n v="6.1"/>
    <n v="3.1"/>
    <n v="41690"/>
    <x v="5"/>
  </r>
  <r>
    <s v="Musicians and singers"/>
    <s v="27-2042"/>
    <x v="11"/>
    <s v="Line item"/>
    <n v="-4.0058000000000003E-3"/>
    <n v="169.8"/>
    <n v="171.6"/>
    <n v="0.1"/>
    <n v="0.1"/>
    <n v="1.8"/>
    <n v="1.1000000000000001"/>
    <n v="46.8"/>
    <n v="19.399999999999999"/>
    <s v="—"/>
    <x v="5"/>
  </r>
  <r>
    <s v="Audio and video technicians"/>
    <s v="27-4011"/>
    <x v="11"/>
    <s v="Line item"/>
    <n v="-1.1774700000000001E-2"/>
    <n v="92.3"/>
    <n v="95.4"/>
    <n v="0.1"/>
    <n v="0.1"/>
    <n v="3.1"/>
    <n v="3.3"/>
    <n v="11"/>
    <n v="7.3"/>
    <n v="54830"/>
    <x v="6"/>
  </r>
  <r>
    <s v="First-line supervisors of mechanics, installers, and repairers"/>
    <s v="49-1011"/>
    <x v="19"/>
    <s v="Line item"/>
    <n v="-2.0516900000000001E-2"/>
    <n v="617.5"/>
    <n v="636.5"/>
    <n v="0.4"/>
    <n v="0.4"/>
    <n v="19.100000000000001"/>
    <n v="3.1"/>
    <n v="0.3"/>
    <n v="52.4"/>
    <n v="78300"/>
    <x v="3"/>
  </r>
  <r>
    <s v="Inspectors, testers, sorters, samplers, and weighers"/>
    <s v="51-9061"/>
    <x v="15"/>
    <s v="Line item"/>
    <n v="-2.9339500000000001E-2"/>
    <n v="598"/>
    <n v="598.1"/>
    <n v="0.4"/>
    <n v="0.3"/>
    <n v="0.1"/>
    <n v="0"/>
    <n v="1.4"/>
    <n v="69.900000000000006"/>
    <n v="47460"/>
    <x v="3"/>
  </r>
  <r>
    <s v="Umpires, referees, and other sports officials"/>
    <s v="27-2023"/>
    <x v="11"/>
    <s v="Line item"/>
    <n v="-3.2561699999999999E-2"/>
    <n v="19.3"/>
    <n v="20.399999999999999"/>
    <n v="0"/>
    <n v="0"/>
    <n v="1.1000000000000001"/>
    <n v="5.7"/>
    <n v="18.2"/>
    <n v="4.5999999999999996"/>
    <n v="38820"/>
    <x v="3"/>
  </r>
  <r>
    <s v="Exercise physiologists"/>
    <s v="29-1128"/>
    <x v="0"/>
    <s v="Line item"/>
    <n v="-3.31901E-2"/>
    <n v="23.9"/>
    <n v="26.1"/>
    <n v="0"/>
    <n v="0"/>
    <n v="2.2999999999999998"/>
    <n v="9.5"/>
    <n v="64"/>
    <n v="1.7"/>
    <n v="58160"/>
    <x v="1"/>
  </r>
  <r>
    <s v="Gambling change persons and booth cashiers"/>
    <s v="41-2012"/>
    <x v="10"/>
    <s v="Line item"/>
    <n v="-5.0092600000000001E-2"/>
    <n v="22.6"/>
    <n v="21.1"/>
    <n v="0"/>
    <n v="0"/>
    <n v="-1.5"/>
    <n v="-6.4"/>
    <s v="—"/>
    <n v="4"/>
    <n v="34810"/>
    <x v="5"/>
  </r>
  <r>
    <s v="Set and exhibit designers"/>
    <s v="27-1027"/>
    <x v="11"/>
    <s v="Line item"/>
    <n v="-5.1932300000000001E-2"/>
    <n v="31.3"/>
    <n v="32"/>
    <n v="0"/>
    <n v="0"/>
    <n v="0.7"/>
    <n v="2.2999999999999998"/>
    <n v="63.5"/>
    <n v="2.5"/>
    <n v="66280"/>
    <x v="1"/>
  </r>
  <r>
    <s v="Hosts and hostesses, restaurant, lounge, and coffee shop"/>
    <s v="35-9031"/>
    <x v="20"/>
    <s v="Line item"/>
    <n v="-5.6547699999999999E-2"/>
    <n v="429.9"/>
    <n v="423.5"/>
    <n v="0.3"/>
    <n v="0.2"/>
    <n v="-6.4"/>
    <n v="-1.5"/>
    <n v="0.1"/>
    <n v="107.7"/>
    <n v="30380"/>
    <x v="5"/>
  </r>
  <r>
    <s v="Magnetic resonance imaging technologists"/>
    <s v="29-2035"/>
    <x v="0"/>
    <s v="Line item"/>
    <n v="-7.27627E-2"/>
    <n v="44.1"/>
    <n v="47.2"/>
    <n v="0"/>
    <n v="0"/>
    <n v="3.1"/>
    <n v="7.1"/>
    <n v="4.5999999999999996"/>
    <n v="2.6"/>
    <n v="88180"/>
    <x v="4"/>
  </r>
  <r>
    <s v="Veterinarians"/>
    <s v="29-1131"/>
    <x v="0"/>
    <s v="Line item"/>
    <n v="-7.4995800000000001E-2"/>
    <n v="86.4"/>
    <n v="94.7"/>
    <n v="0.1"/>
    <n v="0.1"/>
    <n v="8.3000000000000007"/>
    <n v="9.6"/>
    <n v="6.1"/>
    <n v="3"/>
    <n v="125510"/>
    <x v="2"/>
  </r>
  <r>
    <s v="Fabric and apparel patternmakers"/>
    <s v="51-6092"/>
    <x v="15"/>
    <s v="Line item"/>
    <n v="-8.3109600000000006E-2"/>
    <n v="2.8"/>
    <n v="2.5"/>
    <n v="0"/>
    <n v="0"/>
    <n v="-0.3"/>
    <n v="-10.199999999999999"/>
    <s v="—"/>
    <n v="0.3"/>
    <n v="67670"/>
    <x v="3"/>
  </r>
  <r>
    <s v="First-line supervisors of production and operating workers"/>
    <s v="51-1011"/>
    <x v="15"/>
    <s v="Line item"/>
    <n v="-8.4528199999999998E-2"/>
    <n v="698.6"/>
    <n v="706.9"/>
    <n v="0.4"/>
    <n v="0.4"/>
    <n v="8.3000000000000007"/>
    <n v="1.2"/>
    <n v="1.2"/>
    <n v="67.7"/>
    <n v="71190"/>
    <x v="3"/>
  </r>
  <r>
    <s v="Cardiovascular technologists and technicians"/>
    <s v="29-2031"/>
    <x v="0"/>
    <s v="Line item"/>
    <n v="-9.0952599999999995E-2"/>
    <n v="64.7"/>
    <n v="66.599999999999994"/>
    <n v="0"/>
    <n v="0"/>
    <n v="1.9"/>
    <n v="3"/>
    <n v="3.7"/>
    <n v="3.8"/>
    <n v="67260"/>
    <x v="4"/>
  </r>
  <r>
    <s v="Museum technicians and conservators"/>
    <s v="25-4013"/>
    <x v="6"/>
    <s v="Line item"/>
    <n v="-9.1210700000000006E-2"/>
    <n v="15.7"/>
    <n v="16.5"/>
    <n v="0"/>
    <n v="0"/>
    <n v="0.8"/>
    <n v="5.4"/>
    <n v="12"/>
    <n v="1.9"/>
    <n v="47460"/>
    <x v="1"/>
  </r>
  <r>
    <s v="Parts salespersons"/>
    <s v="41-2022"/>
    <x v="10"/>
    <s v="Line item"/>
    <n v="-0.1184909"/>
    <n v="272.10000000000002"/>
    <n v="280.60000000000002"/>
    <n v="0.2"/>
    <n v="0.2"/>
    <n v="8.5"/>
    <n v="3.1"/>
    <n v="1.6"/>
    <n v="30.2"/>
    <n v="37440"/>
    <x v="5"/>
  </r>
  <r>
    <s v="Mechanical engineering technologists and technicians"/>
    <s v="17-3027"/>
    <x v="9"/>
    <s v="Line item"/>
    <n v="-0.1192367"/>
    <n v="38.299999999999997"/>
    <n v="38.299999999999997"/>
    <n v="0"/>
    <n v="0"/>
    <n v="0"/>
    <n v="0"/>
    <n v="1.5"/>
    <n v="3.2"/>
    <n v="68730"/>
    <x v="4"/>
  </r>
  <r>
    <s v="Food service managers"/>
    <s v="11-9051"/>
    <x v="5"/>
    <s v="Line item"/>
    <n v="-0.12131119999999999"/>
    <n v="352.8"/>
    <n v="375.3"/>
    <n v="0.2"/>
    <n v="0.2"/>
    <n v="22.6"/>
    <n v="6.4"/>
    <n v="30.3"/>
    <n v="42"/>
    <n v="65310"/>
    <x v="3"/>
  </r>
  <r>
    <s v="Dietetic technicians"/>
    <s v="29-2051"/>
    <x v="0"/>
    <s v="Line item"/>
    <n v="-0.12602820000000001"/>
    <n v="30.9"/>
    <n v="31.7"/>
    <n v="0"/>
    <n v="0"/>
    <n v="0.8"/>
    <n v="2.5"/>
    <n v="0.7"/>
    <n v="4"/>
    <n v="37040"/>
    <x v="4"/>
  </r>
  <r>
    <s v="Farmers, ranchers, and other agricultural managers"/>
    <s v="11-9013"/>
    <x v="5"/>
    <s v="Line item"/>
    <n v="-0.14436840000000001"/>
    <n v="836.1"/>
    <n v="825"/>
    <n v="0.5"/>
    <n v="0.5"/>
    <n v="-11.1"/>
    <n v="-1.3"/>
    <n v="62.6"/>
    <n v="85.5"/>
    <n v="87980"/>
    <x v="3"/>
  </r>
  <r>
    <s v="Pharmacy aides"/>
    <s v="31-9095"/>
    <x v="13"/>
    <s v="Line item"/>
    <n v="-0.1552654"/>
    <n v="41.1"/>
    <n v="41.1"/>
    <n v="0"/>
    <n v="0"/>
    <n v="-0.1"/>
    <n v="-0.1"/>
    <s v="—"/>
    <n v="6.1"/>
    <n v="37000"/>
    <x v="3"/>
  </r>
  <r>
    <s v="Jewelers and precious stone and metal workers"/>
    <s v="51-9071"/>
    <x v="15"/>
    <s v="Line item"/>
    <n v="-0.15601970000000001"/>
    <n v="35.1"/>
    <n v="33.200000000000003"/>
    <n v="0"/>
    <n v="0"/>
    <n v="-1.9"/>
    <n v="-5.5"/>
    <n v="33.9"/>
    <n v="4"/>
    <n v="49140"/>
    <x v="3"/>
  </r>
  <r>
    <s v="Prosthodontists"/>
    <s v="29-1024"/>
    <x v="0"/>
    <s v="Line item"/>
    <n v="-0.15614030000000001"/>
    <n v="0.9"/>
    <n v="0.9"/>
    <n v="0"/>
    <n v="0"/>
    <n v="0"/>
    <n v="4.5"/>
    <n v="12"/>
    <n v="0"/>
    <s v="&gt;=$239,200"/>
    <x v="2"/>
  </r>
  <r>
    <s v="Photographers"/>
    <s v="27-4021"/>
    <x v="11"/>
    <s v="Line item"/>
    <n v="-0.16809730000000001"/>
    <n v="151.19999999999999"/>
    <n v="154"/>
    <n v="0.1"/>
    <n v="0.1"/>
    <n v="2.8"/>
    <n v="1.8"/>
    <n v="66.3"/>
    <n v="12.7"/>
    <n v="42520"/>
    <x v="3"/>
  </r>
  <r>
    <s v="Avionics technicians"/>
    <s v="49-2091"/>
    <x v="19"/>
    <s v="Line item"/>
    <n v="-0.17285349999999999"/>
    <n v="21.4"/>
    <n v="23.1"/>
    <n v="0"/>
    <n v="0"/>
    <n v="1.7"/>
    <n v="8.1999999999999993"/>
    <s v="—"/>
    <n v="1.8"/>
    <n v="81390"/>
    <x v="6"/>
  </r>
  <r>
    <s v="Dentists, general"/>
    <s v="29-1021"/>
    <x v="0"/>
    <s v="Line item"/>
    <n v="-0.18133009999999999"/>
    <n v="129.80000000000001"/>
    <n v="135.19999999999999"/>
    <n v="0.1"/>
    <n v="0.1"/>
    <n v="5.4"/>
    <n v="4.0999999999999996"/>
    <n v="11.8"/>
    <n v="3.9"/>
    <n v="172790"/>
    <x v="2"/>
  </r>
  <r>
    <s v="Commercial pilots"/>
    <s v="53-2012"/>
    <x v="12"/>
    <s v="Line item"/>
    <n v="-0.18173320000000001"/>
    <n v="55.4"/>
    <n v="58.3"/>
    <n v="0"/>
    <n v="0"/>
    <n v="2.8"/>
    <n v="5.0999999999999996"/>
    <n v="3.7"/>
    <n v="6.6"/>
    <n v="122670"/>
    <x v="6"/>
  </r>
  <r>
    <s v="Transportation inspectors"/>
    <s v="53-6051"/>
    <x v="12"/>
    <s v="Line item"/>
    <n v="-0.18376000000000001"/>
    <n v="25.7"/>
    <n v="26.1"/>
    <n v="0"/>
    <n v="0"/>
    <n v="0.4"/>
    <n v="1.7"/>
    <n v="6.3"/>
    <n v="2.5"/>
    <n v="85750"/>
    <x v="3"/>
  </r>
  <r>
    <s v="Foresters"/>
    <s v="19-1032"/>
    <x v="7"/>
    <s v="Line item"/>
    <n v="-0.18438099999999999"/>
    <n v="13.8"/>
    <n v="14"/>
    <n v="0"/>
    <n v="0"/>
    <n v="0.2"/>
    <n v="1.2"/>
    <n v="3.4"/>
    <n v="1.1000000000000001"/>
    <n v="70660"/>
    <x v="1"/>
  </r>
  <r>
    <s v="Weighers, measurers, checkers, and samplers, recordkeeping"/>
    <s v="43-5111"/>
    <x v="4"/>
    <s v="Line item"/>
    <n v="-0.18607889999999999"/>
    <n v="49.8"/>
    <n v="47.4"/>
    <n v="0"/>
    <n v="0"/>
    <n v="-2.4"/>
    <n v="-4.8"/>
    <n v="0.4"/>
    <n v="5.3"/>
    <n v="45650"/>
    <x v="3"/>
  </r>
  <r>
    <s v="Respiratory therapists"/>
    <s v="29-1126"/>
    <x v="0"/>
    <s v="Line item"/>
    <n v="-0.18805069999999999"/>
    <n v="139.6"/>
    <n v="156.4"/>
    <n v="0.1"/>
    <n v="0.1"/>
    <n v="16.8"/>
    <n v="12.1"/>
    <s v="—"/>
    <n v="8.8000000000000007"/>
    <n v="80450"/>
    <x v="4"/>
  </r>
  <r>
    <s v="Morticians, undertakers, and funeral arrangers"/>
    <s v="39-4031"/>
    <x v="14"/>
    <s v="Line item"/>
    <n v="-0.19037589999999999"/>
    <n v="27.5"/>
    <n v="28.4"/>
    <n v="0"/>
    <n v="0"/>
    <n v="0.8"/>
    <n v="3.1"/>
    <n v="5"/>
    <n v="3.2"/>
    <n v="49800"/>
    <x v="4"/>
  </r>
  <r>
    <s v="Chiropractors"/>
    <s v="29-1011"/>
    <x v="0"/>
    <s v="Line item"/>
    <n v="-0.1911757"/>
    <n v="57.2"/>
    <n v="62.6"/>
    <n v="0"/>
    <n v="0"/>
    <n v="5.4"/>
    <n v="9.5"/>
    <n v="34.700000000000003"/>
    <n v="2.8"/>
    <n v="79000"/>
    <x v="2"/>
  </r>
  <r>
    <s v="First-line supervisors of police and detectives"/>
    <s v="33-1012"/>
    <x v="16"/>
    <s v="Line item"/>
    <n v="-0.1923298"/>
    <n v="160.80000000000001"/>
    <n v="165.4"/>
    <n v="0.1"/>
    <n v="0.1"/>
    <n v="4.5999999999999996"/>
    <n v="2.9"/>
    <s v="—"/>
    <n v="10.9"/>
    <n v="105980"/>
    <x v="3"/>
  </r>
  <r>
    <s v="Airline pilots, copilots, and flight engineers"/>
    <s v="53-2011"/>
    <x v="12"/>
    <s v="Line item"/>
    <n v="-0.20706260000000001"/>
    <n v="100"/>
    <n v="103.9"/>
    <n v="0.1"/>
    <n v="0.1"/>
    <n v="3.9"/>
    <n v="3.9"/>
    <s v="—"/>
    <n v="11.7"/>
    <n v="226600"/>
    <x v="1"/>
  </r>
  <r>
    <s v="Watch and clock repairers"/>
    <s v="49-9064"/>
    <x v="19"/>
    <s v="Line item"/>
    <n v="-0.21239959999999999"/>
    <n v="1.4"/>
    <n v="1.4"/>
    <n v="0"/>
    <n v="0"/>
    <n v="0"/>
    <n v="-1.1000000000000001"/>
    <n v="9.8000000000000007"/>
    <n v="0.1"/>
    <n v="60690"/>
    <x v="3"/>
  </r>
  <r>
    <s v="Forest fire inspectors and prevention specialists"/>
    <s v="33-2022"/>
    <x v="16"/>
    <s v="Line item"/>
    <n v="-0.21441270000000001"/>
    <n v="2.9"/>
    <n v="3.3"/>
    <n v="0"/>
    <n v="0"/>
    <n v="0.4"/>
    <n v="14.6"/>
    <s v="—"/>
    <n v="0.3"/>
    <n v="52380"/>
    <x v="3"/>
  </r>
  <r>
    <s v="Radiation therapists"/>
    <s v="29-1124"/>
    <x v="0"/>
    <s v="Line item"/>
    <n v="-0.2189393"/>
    <n v="19.2"/>
    <n v="19.600000000000001"/>
    <n v="0"/>
    <n v="0"/>
    <n v="0.4"/>
    <n v="1.9"/>
    <s v="—"/>
    <n v="0.9"/>
    <n v="101990"/>
    <x v="4"/>
  </r>
  <r>
    <s v="Psychiatric technicians"/>
    <s v="29-2053"/>
    <x v="0"/>
    <s v="Line item"/>
    <n v="-0.2203484"/>
    <n v="144.5"/>
    <n v="173.3"/>
    <n v="0.1"/>
    <n v="0.1"/>
    <n v="28.9"/>
    <n v="20"/>
    <s v="—"/>
    <n v="15.9"/>
    <n v="42590"/>
    <x v="6"/>
  </r>
  <r>
    <s v="Oral and maxillofacial surgeons"/>
    <s v="29-1022"/>
    <x v="0"/>
    <s v="Line item"/>
    <n v="-0.23896680000000001"/>
    <n v="6.1"/>
    <n v="6.4"/>
    <n v="0"/>
    <n v="0"/>
    <n v="0.3"/>
    <n v="4.0999999999999996"/>
    <n v="11.9"/>
    <n v="0.2"/>
    <s v="&gt;=$239,200"/>
    <x v="2"/>
  </r>
  <r>
    <s v="Ushers, lobby attendants, and ticket takers"/>
    <s v="39-3031"/>
    <x v="14"/>
    <s v="Line item"/>
    <n v="-0.2420959"/>
    <n v="121.7"/>
    <n v="123.1"/>
    <n v="0.1"/>
    <n v="0.1"/>
    <n v="1.4"/>
    <n v="1.2"/>
    <s v="—"/>
    <n v="30.8"/>
    <n v="31150"/>
    <x v="5"/>
  </r>
  <r>
    <s v="Recreation workers"/>
    <s v="39-9032"/>
    <x v="14"/>
    <s v="Line item"/>
    <n v="-0.24411540000000001"/>
    <n v="327.7"/>
    <n v="341.1"/>
    <n v="0.2"/>
    <n v="0.2"/>
    <n v="13.4"/>
    <n v="4.0999999999999996"/>
    <n v="0.4"/>
    <n v="68.099999999999994"/>
    <n v="35380"/>
    <x v="3"/>
  </r>
  <r>
    <s v="Cashiers"/>
    <s v="41-2011"/>
    <x v="10"/>
    <s v="Line item"/>
    <n v="-0.2480887"/>
    <n v="3157.2"/>
    <n v="2843.6"/>
    <n v="1.9"/>
    <n v="1.6"/>
    <n v="-313.60000000000002"/>
    <n v="-9.9"/>
    <n v="0.2"/>
    <n v="542.6"/>
    <n v="31190"/>
    <x v="5"/>
  </r>
  <r>
    <s v="First-line supervisors of food preparation and serving workers"/>
    <s v="35-1012"/>
    <x v="20"/>
    <s v="Line item"/>
    <n v="-0.25754919999999998"/>
    <n v="1215"/>
    <n v="1288"/>
    <n v="0.7"/>
    <n v="0.7"/>
    <n v="73"/>
    <n v="6"/>
    <n v="1.6"/>
    <n v="183.9"/>
    <n v="42010"/>
    <x v="3"/>
  </r>
  <r>
    <s v="Skincare specialists"/>
    <s v="39-5094"/>
    <x v="14"/>
    <s v="Line item"/>
    <n v="-0.26283960000000001"/>
    <n v="97.4"/>
    <n v="103.9"/>
    <n v="0.1"/>
    <n v="0.1"/>
    <n v="6.6"/>
    <n v="6.7"/>
    <n v="26.4"/>
    <n v="14.5"/>
    <n v="41560"/>
    <x v="6"/>
  </r>
  <r>
    <s v="Diagnostic medical sonographers"/>
    <s v="29-2032"/>
    <x v="0"/>
    <s v="Line item"/>
    <n v="-0.26405400000000001"/>
    <n v="90"/>
    <n v="101.7"/>
    <n v="0.1"/>
    <n v="0.1"/>
    <n v="11.7"/>
    <n v="13"/>
    <n v="2.5"/>
    <n v="5.8"/>
    <n v="89340"/>
    <x v="4"/>
  </r>
  <r>
    <s v="Chefs and head cooks"/>
    <s v="35-1011"/>
    <x v="20"/>
    <s v="Line item"/>
    <n v="-0.26764329999999997"/>
    <n v="197.3"/>
    <n v="211.3"/>
    <n v="0.1"/>
    <n v="0.1"/>
    <n v="14"/>
    <n v="7.1"/>
    <n v="6.3"/>
    <n v="24.4"/>
    <n v="60990"/>
    <x v="3"/>
  </r>
  <r>
    <s v="Floral designers"/>
    <s v="27-1023"/>
    <x v="11"/>
    <s v="Line item"/>
    <n v="-0.27184520000000001"/>
    <n v="43.8"/>
    <n v="41.2"/>
    <n v="0"/>
    <n v="0"/>
    <n v="-2.6"/>
    <n v="-5.9"/>
    <n v="10.7"/>
    <n v="5.0999999999999996"/>
    <n v="36120"/>
    <x v="3"/>
  </r>
  <r>
    <s v="Medical equipment repairers"/>
    <s v="49-9062"/>
    <x v="19"/>
    <s v="Line item"/>
    <n v="-0.27688380000000001"/>
    <n v="68"/>
    <n v="76.8"/>
    <n v="0"/>
    <n v="0"/>
    <n v="8.8000000000000007"/>
    <n v="12.9"/>
    <n v="9.4"/>
    <n v="7.3"/>
    <n v="62630"/>
    <x v="4"/>
  </r>
  <r>
    <s v="Phlebotomists"/>
    <s v="31-9097"/>
    <x v="13"/>
    <s v="Line item"/>
    <n v="-0.27784750000000003"/>
    <n v="139.69999999999999"/>
    <n v="147.5"/>
    <n v="0.1"/>
    <n v="0.1"/>
    <n v="7.9"/>
    <n v="5.6"/>
    <s v="—"/>
    <n v="18.399999999999999"/>
    <n v="43660"/>
    <x v="6"/>
  </r>
  <r>
    <s v="Health technologists and technicians, all other"/>
    <s v="29-2099"/>
    <x v="0"/>
    <s v="Line item"/>
    <n v="-0.283854"/>
    <n v="178.8"/>
    <n v="188.1"/>
    <n v="0.1"/>
    <n v="0.1"/>
    <n v="9.3000000000000007"/>
    <n v="5.2"/>
    <n v="0.5"/>
    <n v="13.6"/>
    <n v="48790"/>
    <x v="6"/>
  </r>
  <r>
    <s v="Gas plant operators"/>
    <s v="51-8092"/>
    <x v="15"/>
    <s v="Line item"/>
    <n v="-0.29820819999999998"/>
    <n v="16.2"/>
    <n v="14.8"/>
    <n v="0"/>
    <n v="0"/>
    <n v="-1.4"/>
    <n v="-8.8000000000000007"/>
    <s v="—"/>
    <n v="1.3"/>
    <n v="83400"/>
    <x v="3"/>
  </r>
  <r>
    <s v="Electro-mechanical and mechatronics technologists and technicians"/>
    <s v="17-3024"/>
    <x v="9"/>
    <s v="Line item"/>
    <n v="-0.30405070000000001"/>
    <n v="15"/>
    <n v="15.1"/>
    <n v="0"/>
    <n v="0"/>
    <n v="0.2"/>
    <n v="1.1000000000000001"/>
    <n v="1.5"/>
    <n v="1.3"/>
    <n v="70760"/>
    <x v="4"/>
  </r>
  <r>
    <s v="First-line supervisors of construction trades and extraction workers"/>
    <s v="47-1011"/>
    <x v="17"/>
    <s v="Line item"/>
    <n v="-0.30540479999999998"/>
    <n v="921.6"/>
    <n v="970.6"/>
    <n v="0.5"/>
    <n v="0.6"/>
    <n v="49"/>
    <n v="5.3"/>
    <n v="11.5"/>
    <n v="74.400000000000006"/>
    <n v="78690"/>
    <x v="3"/>
  </r>
  <r>
    <s v="Occupational therapy assistants"/>
    <s v="31-2011"/>
    <x v="13"/>
    <s v="Line item"/>
    <n v="-0.3153762"/>
    <n v="49.2"/>
    <n v="58.7"/>
    <n v="0"/>
    <n v="0"/>
    <n v="9.5"/>
    <n v="19.2"/>
    <s v="—"/>
    <n v="7.2"/>
    <n v="68340"/>
    <x v="4"/>
  </r>
  <r>
    <s v="Athletic trainers"/>
    <s v="29-9091"/>
    <x v="0"/>
    <s v="Line item"/>
    <n v="-0.33113629999999999"/>
    <n v="33.9"/>
    <n v="37.6"/>
    <n v="0"/>
    <n v="0"/>
    <n v="3.8"/>
    <n v="11.1"/>
    <n v="6.2"/>
    <n v="2.4"/>
    <n v="60250"/>
    <x v="0"/>
  </r>
  <r>
    <s v="Locker room, coatroom, and dressing room attendants"/>
    <s v="39-3093"/>
    <x v="14"/>
    <s v="Line item"/>
    <n v="-0.34543760000000001"/>
    <n v="15.6"/>
    <n v="16.600000000000001"/>
    <n v="0"/>
    <n v="0"/>
    <n v="1"/>
    <n v="6.4"/>
    <n v="1.2"/>
    <n v="4.2"/>
    <n v="34800"/>
    <x v="3"/>
  </r>
  <r>
    <s v="Computer, automated teller, and office machine repairers"/>
    <s v="49-2011"/>
    <x v="19"/>
    <s v="Line item"/>
    <n v="-0.34582469999999998"/>
    <n v="79.099999999999994"/>
    <n v="78.400000000000006"/>
    <n v="0"/>
    <n v="0"/>
    <n v="-0.7"/>
    <n v="-0.9"/>
    <n v="6.2"/>
    <n v="7.6"/>
    <n v="46860"/>
    <x v="7"/>
  </r>
  <r>
    <s v="Power plant operators"/>
    <s v="51-8013"/>
    <x v="15"/>
    <s v="Line item"/>
    <n v="-0.34827789999999997"/>
    <n v="31.6"/>
    <n v="28"/>
    <n v="0"/>
    <n v="0"/>
    <n v="-3.5"/>
    <n v="-11.2"/>
    <s v="—"/>
    <n v="2.5"/>
    <n v="99670"/>
    <x v="3"/>
  </r>
  <r>
    <s v="Physical therapists"/>
    <s v="29-1123"/>
    <x v="0"/>
    <s v="Line item"/>
    <n v="-0.35819220000000002"/>
    <n v="267.2"/>
    <n v="296.39999999999998"/>
    <n v="0.2"/>
    <n v="0.2"/>
    <n v="29.3"/>
    <n v="10.9"/>
    <n v="4.5"/>
    <n v="13.2"/>
    <n v="101020"/>
    <x v="2"/>
  </r>
  <r>
    <s v="Photographic process workers and processing machine operators"/>
    <s v="51-9151"/>
    <x v="15"/>
    <s v="Line item"/>
    <n v="-0.36158059999999997"/>
    <n v="11.2"/>
    <n v="10.9"/>
    <n v="0"/>
    <n v="0"/>
    <n v="-0.3"/>
    <n v="-2.6"/>
    <n v="39"/>
    <n v="1.5"/>
    <n v="40100"/>
    <x v="3"/>
  </r>
  <r>
    <s v="Veterinary technologists and technicians"/>
    <s v="29-2056"/>
    <x v="0"/>
    <s v="Line item"/>
    <n v="-0.36231790000000003"/>
    <n v="134.19999999999999"/>
    <n v="146.4"/>
    <n v="0.1"/>
    <n v="0.1"/>
    <n v="12.2"/>
    <n v="9.1"/>
    <n v="1.2"/>
    <n v="14.3"/>
    <n v="45980"/>
    <x v="4"/>
  </r>
  <r>
    <s v="Petroleum pump system operators, refinery operators, and gaugers"/>
    <s v="51-8093"/>
    <x v="15"/>
    <s v="Line item"/>
    <n v="-0.37003599999999998"/>
    <n v="34.9"/>
    <n v="34"/>
    <n v="0"/>
    <n v="0"/>
    <n v="-1"/>
    <n v="-2.8"/>
    <s v="—"/>
    <n v="3.2"/>
    <n v="97540"/>
    <x v="3"/>
  </r>
  <r>
    <s v="Passenger attendants"/>
    <s v="53-6061"/>
    <x v="12"/>
    <s v="Line item"/>
    <n v="-0.37522489999999997"/>
    <n v="25.6"/>
    <n v="26.8"/>
    <n v="0"/>
    <n v="0"/>
    <n v="1.2"/>
    <n v="4.7"/>
    <s v="—"/>
    <n v="4.0999999999999996"/>
    <n v="37560"/>
    <x v="3"/>
  </r>
  <r>
    <s v="Motion picture projectionists"/>
    <s v="39-3021"/>
    <x v="14"/>
    <s v="Line item"/>
    <n v="-0.37865979999999999"/>
    <n v="2"/>
    <n v="2"/>
    <n v="0"/>
    <n v="0"/>
    <n v="-0.1"/>
    <n v="-3.7"/>
    <s v="—"/>
    <n v="0.5"/>
    <n v="38180"/>
    <x v="5"/>
  </r>
  <r>
    <s v="Food batchmakers"/>
    <s v="51-3092"/>
    <x v="15"/>
    <s v="Line item"/>
    <n v="-0.37911139999999999"/>
    <n v="173.5"/>
    <n v="185.4"/>
    <n v="0.1"/>
    <n v="0.1"/>
    <n v="11.9"/>
    <n v="6.9"/>
    <n v="0.6"/>
    <n v="24.2"/>
    <n v="40790"/>
    <x v="3"/>
  </r>
  <r>
    <s v="Chemical plant and system operators"/>
    <s v="51-8091"/>
    <x v="15"/>
    <s v="Line item"/>
    <n v="-0.38312819999999997"/>
    <n v="18.100000000000001"/>
    <n v="17"/>
    <n v="0"/>
    <n v="0"/>
    <n v="-1.1000000000000001"/>
    <n v="-6.1"/>
    <s v="—"/>
    <n v="1.6"/>
    <n v="73540"/>
    <x v="3"/>
  </r>
  <r>
    <s v="Childcare workers"/>
    <s v="39-9011"/>
    <x v="14"/>
    <s v="Line item"/>
    <n v="-0.38347940000000003"/>
    <n v="991.6"/>
    <n v="962.4"/>
    <n v="0.6"/>
    <n v="0.5"/>
    <n v="-29.2"/>
    <n v="-2.9"/>
    <n v="21.2"/>
    <n v="160.19999999999999"/>
    <n v="32050"/>
    <x v="3"/>
  </r>
  <r>
    <s v="Bakers"/>
    <s v="51-3011"/>
    <x v="15"/>
    <s v="Line item"/>
    <n v="-0.3852989"/>
    <n v="249.1"/>
    <n v="263.2"/>
    <n v="0.1"/>
    <n v="0.2"/>
    <n v="14"/>
    <n v="5.6"/>
    <n v="6.2"/>
    <n v="39.9"/>
    <n v="36650"/>
    <x v="5"/>
  </r>
  <r>
    <s v="Security guards"/>
    <s v="33-9032"/>
    <x v="16"/>
    <s v="Line item"/>
    <n v="-0.39084210000000003"/>
    <n v="1262.0999999999999"/>
    <n v="1267.0999999999999"/>
    <n v="0.7"/>
    <n v="0.7"/>
    <n v="5.0999999999999996"/>
    <n v="0.4"/>
    <n v="0.5"/>
    <n v="161"/>
    <n v="38370"/>
    <x v="3"/>
  </r>
  <r>
    <s v="Captains, mates, and pilots of water vessels"/>
    <s v="53-5021"/>
    <x v="12"/>
    <s v="Line item"/>
    <n v="-0.42818679999999998"/>
    <n v="40.700000000000003"/>
    <n v="40.9"/>
    <n v="0"/>
    <n v="0"/>
    <n v="0.2"/>
    <n v="0.5"/>
    <n v="7.1"/>
    <n v="4.3"/>
    <n v="85540"/>
    <x v="6"/>
  </r>
  <r>
    <s v="Tailors, dressmakers, and custom sewers"/>
    <s v="51-6052"/>
    <x v="15"/>
    <s v="Line item"/>
    <n v="-0.43052679999999999"/>
    <n v="38.799999999999997"/>
    <n v="37.1"/>
    <n v="0"/>
    <n v="0"/>
    <n v="-1.7"/>
    <n v="-4.5"/>
    <n v="57.4"/>
    <n v="5"/>
    <n v="40860"/>
    <x v="5"/>
  </r>
  <r>
    <s v="Farm labor contractors"/>
    <s v="13-1074"/>
    <x v="1"/>
    <s v="Line item"/>
    <n v="-0.43540250000000003"/>
    <n v="3.9"/>
    <n v="4.2"/>
    <n v="0"/>
    <n v="0"/>
    <n v="0.2"/>
    <n v="6"/>
    <s v="—"/>
    <n v="0.3"/>
    <n v="48690"/>
    <x v="5"/>
  </r>
  <r>
    <s v="Water and wastewater treatment plant and system operators"/>
    <s v="51-8031"/>
    <x v="15"/>
    <s v="Line item"/>
    <n v="-0.44501000000000002"/>
    <n v="132.4"/>
    <n v="123.8"/>
    <n v="0.1"/>
    <n v="0.1"/>
    <n v="-8.6999999999999993"/>
    <n v="-6.5"/>
    <n v="1.1000000000000001"/>
    <n v="10.7"/>
    <n v="58260"/>
    <x v="3"/>
  </r>
  <r>
    <s v="Camera operators, television, video, and film"/>
    <s v="27-4031"/>
    <x v="11"/>
    <s v="Line item"/>
    <n v="-0.44700089999999998"/>
    <n v="36.4"/>
    <n v="36.9"/>
    <n v="0"/>
    <n v="0"/>
    <n v="0.4"/>
    <n v="1.2"/>
    <n v="28.8"/>
    <n v="2.9"/>
    <n v="68810"/>
    <x v="1"/>
  </r>
  <r>
    <s v="Costume attendants"/>
    <s v="39-3092"/>
    <x v="14"/>
    <s v="Line item"/>
    <n v="-0.45336080000000001"/>
    <n v="6.7"/>
    <n v="7.1"/>
    <n v="0"/>
    <n v="0"/>
    <n v="0.4"/>
    <n v="5.9"/>
    <n v="1.2"/>
    <n v="1.8"/>
    <n v="54810"/>
    <x v="3"/>
  </r>
  <r>
    <s v="Fish and game wardens"/>
    <s v="33-3031"/>
    <x v="16"/>
    <s v="Line item"/>
    <n v="-0.4585168"/>
    <n v="7"/>
    <n v="6.6"/>
    <n v="0"/>
    <n v="0"/>
    <n v="-0.4"/>
    <n v="-6"/>
    <s v="—"/>
    <n v="0.5"/>
    <n v="68180"/>
    <x v="1"/>
  </r>
  <r>
    <s v="Makeup artists, theatrical and performance"/>
    <s v="39-5091"/>
    <x v="14"/>
    <s v="Line item"/>
    <n v="-0.45961380000000002"/>
    <n v="7"/>
    <n v="7.6"/>
    <n v="0"/>
    <n v="0"/>
    <n v="0.6"/>
    <n v="8.1"/>
    <n v="50.3"/>
    <n v="1.1000000000000001"/>
    <n v="50280"/>
    <x v="6"/>
  </r>
  <r>
    <s v="Electrical and electronics repairers, commercial and industrial equipment"/>
    <s v="49-2094"/>
    <x v="19"/>
    <s v="Line item"/>
    <n v="-0.46320309999999998"/>
    <n v="61.1"/>
    <n v="60.7"/>
    <n v="0"/>
    <n v="0"/>
    <n v="-0.5"/>
    <n v="-0.8"/>
    <s v="—"/>
    <n v="4.7"/>
    <n v="71300"/>
    <x v="6"/>
  </r>
  <r>
    <s v="Railroad conductors and yardmasters"/>
    <s v="53-4031"/>
    <x v="12"/>
    <s v="Line item"/>
    <n v="-0.4662731"/>
    <n v="36.799999999999997"/>
    <n v="37.200000000000003"/>
    <n v="0"/>
    <n v="0"/>
    <n v="0.4"/>
    <n v="1.1000000000000001"/>
    <s v="—"/>
    <n v="3.1"/>
    <n v="74080"/>
    <x v="3"/>
  </r>
  <r>
    <s v="Lifeguards, ski patrol, and other recreational protective service workers"/>
    <s v="33-9092"/>
    <x v="16"/>
    <s v="Line item"/>
    <n v="-0.47183849999999999"/>
    <n v="149.69999999999999"/>
    <n v="158.4"/>
    <n v="0.1"/>
    <n v="0.1"/>
    <n v="8.6999999999999993"/>
    <n v="5.8"/>
    <s v="—"/>
    <n v="42.7"/>
    <n v="33720"/>
    <x v="5"/>
  </r>
  <r>
    <s v="Log graders and scalers"/>
    <s v="45-4023"/>
    <x v="18"/>
    <s v="Line item"/>
    <n v="-0.47683049999999999"/>
    <n v="4.5999999999999996"/>
    <n v="4.5999999999999996"/>
    <n v="0"/>
    <n v="0"/>
    <n v="0"/>
    <n v="-0.7"/>
    <n v="28.3"/>
    <n v="0.6"/>
    <n v="46710"/>
    <x v="3"/>
  </r>
  <r>
    <s v="First-line supervisors of farming, fishing, and forestry workers"/>
    <s v="45-1011"/>
    <x v="18"/>
    <s v="Line item"/>
    <n v="-0.47918430000000001"/>
    <n v="65.400000000000006"/>
    <n v="67"/>
    <n v="0"/>
    <n v="0"/>
    <n v="1.6"/>
    <n v="2.5"/>
    <n v="11.4"/>
    <n v="8.5"/>
    <n v="59330"/>
    <x v="3"/>
  </r>
  <r>
    <s v="Surgical technologists"/>
    <s v="29-2055"/>
    <x v="0"/>
    <s v="Line item"/>
    <n v="-0.48304760000000002"/>
    <n v="115.6"/>
    <n v="120.8"/>
    <n v="0.1"/>
    <n v="0.1"/>
    <n v="5.2"/>
    <n v="4.5"/>
    <n v="0.1"/>
    <n v="7"/>
    <n v="62830"/>
    <x v="6"/>
  </r>
  <r>
    <s v="Medical appliance technicians"/>
    <s v="51-9082"/>
    <x v="15"/>
    <s v="Line item"/>
    <n v="-0.4949538"/>
    <n v="12"/>
    <n v="12.4"/>
    <n v="0"/>
    <n v="0"/>
    <n v="0.4"/>
    <n v="3.7"/>
    <n v="4"/>
    <n v="1.5"/>
    <n v="47060"/>
    <x v="3"/>
  </r>
  <r>
    <s v="Locomotive engineers"/>
    <s v="53-4011"/>
    <x v="12"/>
    <s v="Line item"/>
    <n v="-0.49774030000000002"/>
    <n v="27"/>
    <n v="27.2"/>
    <n v="0"/>
    <n v="0"/>
    <n v="0.2"/>
    <n v="0.7"/>
    <s v="—"/>
    <n v="2.2000000000000002"/>
    <n v="77400"/>
    <x v="3"/>
  </r>
  <r>
    <s v="Stationary engineers and boiler operators"/>
    <s v="51-8021"/>
    <x v="15"/>
    <s v="Line item"/>
    <n v="-0.50324959999999996"/>
    <n v="33.299999999999997"/>
    <n v="34"/>
    <n v="0"/>
    <n v="0"/>
    <n v="0.7"/>
    <n v="2.2000000000000002"/>
    <n v="3.1"/>
    <n v="3.8"/>
    <n v="75190"/>
    <x v="3"/>
  </r>
  <r>
    <s v="Transportation security screeners"/>
    <s v="33-9093"/>
    <x v="16"/>
    <s v="Line item"/>
    <n v="-0.50685579999999997"/>
    <n v="50.1"/>
    <n v="47.1"/>
    <n v="0"/>
    <n v="0"/>
    <n v="-3"/>
    <n v="-6"/>
    <n v="0.3"/>
    <n v="4.7"/>
    <n v="63360"/>
    <x v="3"/>
  </r>
  <r>
    <s v="Bailiffs"/>
    <s v="33-3011"/>
    <x v="16"/>
    <s v="Line item"/>
    <n v="-0.5103183"/>
    <n v="19"/>
    <n v="18.600000000000001"/>
    <n v="0"/>
    <n v="0"/>
    <n v="-0.4"/>
    <n v="-2.2000000000000002"/>
    <n v="6.3"/>
    <n v="1.8"/>
    <n v="57050"/>
    <x v="3"/>
  </r>
  <r>
    <s v="Chemical equipment operators and tenders"/>
    <s v="51-9011"/>
    <x v="15"/>
    <s v="Line item"/>
    <n v="-0.511521"/>
    <n v="128.9"/>
    <n v="133.1"/>
    <n v="0.1"/>
    <n v="0.1"/>
    <n v="4.3"/>
    <n v="3.3"/>
    <n v="0.4"/>
    <n v="14.4"/>
    <n v="57090"/>
    <x v="3"/>
  </r>
  <r>
    <s v="Licensed practical and licensed vocational nurses"/>
    <s v="29-2061"/>
    <x v="0"/>
    <s v="Line item"/>
    <n v="-0.51373729999999995"/>
    <n v="651.4"/>
    <n v="668.5"/>
    <n v="0.4"/>
    <n v="0.4"/>
    <n v="17.100000000000001"/>
    <n v="2.6"/>
    <n v="0.3"/>
    <n v="54.4"/>
    <n v="62340"/>
    <x v="6"/>
  </r>
  <r>
    <s v="Office machine operators, except computer"/>
    <s v="43-9071"/>
    <x v="4"/>
    <s v="Line item"/>
    <n v="-0.51714039999999994"/>
    <n v="25.5"/>
    <n v="21.6"/>
    <n v="0"/>
    <n v="0"/>
    <n v="-3.9"/>
    <n v="-15.2"/>
    <s v="—"/>
    <n v="2.8"/>
    <n v="39020"/>
    <x v="3"/>
  </r>
  <r>
    <s v="Postal service clerks"/>
    <s v="43-5051"/>
    <x v="4"/>
    <s v="Line item"/>
    <n v="-0.51869969999999999"/>
    <n v="74.2"/>
    <n v="71.599999999999994"/>
    <n v="0"/>
    <n v="0"/>
    <n v="-2.6"/>
    <n v="-3.5"/>
    <s v="—"/>
    <n v="6.1"/>
    <n v="61630"/>
    <x v="5"/>
  </r>
  <r>
    <s v="Amusement and recreation attendants"/>
    <s v="39-3091"/>
    <x v="14"/>
    <s v="Line item"/>
    <n v="-0.52461530000000001"/>
    <n v="392.3"/>
    <n v="405.5"/>
    <n v="0.2"/>
    <n v="0.2"/>
    <n v="13.2"/>
    <n v="3.4"/>
    <n v="1.1000000000000001"/>
    <n v="102.4"/>
    <n v="30490"/>
    <x v="5"/>
  </r>
  <r>
    <s v="Ship engineers"/>
    <s v="53-5031"/>
    <x v="12"/>
    <s v="Line item"/>
    <n v="-0.52649509999999999"/>
    <n v="8.8000000000000007"/>
    <n v="9"/>
    <n v="0"/>
    <n v="0"/>
    <n v="0.1"/>
    <n v="1.6"/>
    <s v="—"/>
    <n v="1.1000000000000001"/>
    <n v="101320"/>
    <x v="6"/>
  </r>
  <r>
    <s v="Dental assistants"/>
    <s v="31-9091"/>
    <x v="13"/>
    <s v="Line item"/>
    <n v="-0.52687589999999995"/>
    <n v="381.9"/>
    <n v="406.3"/>
    <n v="0.2"/>
    <n v="0.2"/>
    <n v="24.4"/>
    <n v="6.4"/>
    <n v="0.7"/>
    <n v="52.9"/>
    <n v="47300"/>
    <x v="6"/>
  </r>
  <r>
    <s v="Musical instrument repairers and tuners"/>
    <s v="49-9063"/>
    <x v="19"/>
    <s v="Line item"/>
    <n v="-0.53062710000000002"/>
    <n v="6.2"/>
    <n v="6.3"/>
    <n v="0"/>
    <n v="0"/>
    <n v="0.1"/>
    <n v="1.4"/>
    <n v="9.8000000000000007"/>
    <n v="0.6"/>
    <n v="45320"/>
    <x v="3"/>
  </r>
  <r>
    <s v="Physical therapist assistants"/>
    <s v="31-2021"/>
    <x v="13"/>
    <s v="Line item"/>
    <n v="-0.53085349999999998"/>
    <n v="111.5"/>
    <n v="136"/>
    <n v="0.1"/>
    <n v="0.1"/>
    <n v="24.5"/>
    <n v="22"/>
    <n v="0.7"/>
    <n v="19.8"/>
    <n v="65510"/>
    <x v="4"/>
  </r>
  <r>
    <s v="Tool and die makers"/>
    <s v="51-4111"/>
    <x v="15"/>
    <s v="Line item"/>
    <n v="-0.53178970000000003"/>
    <n v="55.2"/>
    <n v="49.3"/>
    <n v="0"/>
    <n v="0"/>
    <n v="-6"/>
    <n v="-10.8"/>
    <s v="—"/>
    <n v="4.7"/>
    <n v="63180"/>
    <x v="6"/>
  </r>
  <r>
    <s v="Funeral attendants"/>
    <s v="39-4021"/>
    <x v="14"/>
    <s v="Line item"/>
    <n v="-0.54454119999999995"/>
    <n v="32.5"/>
    <n v="33.5"/>
    <n v="0"/>
    <n v="0"/>
    <n v="1"/>
    <n v="3.1"/>
    <n v="4.8"/>
    <n v="5.7"/>
    <n v="34610"/>
    <x v="3"/>
  </r>
  <r>
    <s v="Electrical and electronics repairers, powerhouse, substation, and relay"/>
    <s v="49-2095"/>
    <x v="19"/>
    <s v="Line item"/>
    <n v="-0.55226359999999997"/>
    <n v="23.4"/>
    <n v="24.7"/>
    <n v="0"/>
    <n v="0"/>
    <n v="1.3"/>
    <n v="5.5"/>
    <s v="—"/>
    <n v="2"/>
    <n v="100940"/>
    <x v="6"/>
  </r>
  <r>
    <s v="First-line supervisors of landscaping, lawn service, and groundskeeping workers"/>
    <s v="37-1012"/>
    <x v="21"/>
    <s v="Line item"/>
    <n v="-0.55488709999999997"/>
    <n v="224.7"/>
    <n v="230"/>
    <n v="0.1"/>
    <n v="0.1"/>
    <n v="5.2"/>
    <n v="2.2999999999999998"/>
    <n v="43.9"/>
    <n v="23.2"/>
    <n v="56170"/>
    <x v="3"/>
  </r>
  <r>
    <s v="Radiologic technologists and technicians"/>
    <s v="29-2034"/>
    <x v="0"/>
    <s v="Line item"/>
    <n v="-0.5559037"/>
    <n v="228"/>
    <n v="237.8"/>
    <n v="0.1"/>
    <n v="0.1"/>
    <n v="9.8000000000000007"/>
    <n v="4.3"/>
    <n v="0.4"/>
    <n v="12.9"/>
    <n v="77660"/>
    <x v="4"/>
  </r>
  <r>
    <s v="Food cooking machine operators and tenders"/>
    <s v="51-3093"/>
    <x v="15"/>
    <s v="Line item"/>
    <n v="-0.55598939999999997"/>
    <n v="29.7"/>
    <n v="29.9"/>
    <n v="0"/>
    <n v="0"/>
    <n v="0.2"/>
    <n v="0.6"/>
    <n v="6.2"/>
    <n v="4.4000000000000004"/>
    <n v="40550"/>
    <x v="3"/>
  </r>
  <r>
    <s v="First-line supervisors of correctional officers"/>
    <s v="33-1011"/>
    <x v="16"/>
    <s v="Line item"/>
    <n v="-0.55842780000000003"/>
    <n v="57.1"/>
    <n v="55.5"/>
    <n v="0"/>
    <n v="0"/>
    <n v="-1.6"/>
    <n v="-2.8"/>
    <s v="—"/>
    <n v="4.3"/>
    <n v="76310"/>
    <x v="3"/>
  </r>
  <r>
    <s v="Fine artists, including painters, sculptors, and illustrators"/>
    <s v="27-1013"/>
    <x v="11"/>
    <s v="Line item"/>
    <n v="-0.56904980000000005"/>
    <n v="26.5"/>
    <n v="26.2"/>
    <n v="0"/>
    <n v="0"/>
    <n v="-0.3"/>
    <n v="-1.2"/>
    <n v="61.6"/>
    <n v="2.2000000000000002"/>
    <n v="60560"/>
    <x v="1"/>
  </r>
  <r>
    <s v="Crossing guards and flaggers"/>
    <s v="33-9091"/>
    <x v="16"/>
    <s v="Line item"/>
    <n v="-0.56995110000000004"/>
    <n v="91.4"/>
    <n v="94.7"/>
    <n v="0.1"/>
    <n v="0.1"/>
    <n v="3.3"/>
    <n v="3.6"/>
    <s v="—"/>
    <n v="18"/>
    <n v="37700"/>
    <x v="5"/>
  </r>
  <r>
    <s v="Audiovisual equipment installers and repairers"/>
    <s v="49-2097"/>
    <x v="19"/>
    <s v="Line item"/>
    <n v="-0.57128400000000001"/>
    <n v="24.6"/>
    <n v="26.3"/>
    <n v="0"/>
    <n v="0"/>
    <n v="1.6"/>
    <n v="6.6"/>
    <n v="8.4"/>
    <n v="2.6"/>
    <n v="50620"/>
    <x v="6"/>
  </r>
  <r>
    <s v="First-line supervisors of housekeeping and janitorial workers"/>
    <s v="37-1011"/>
    <x v="21"/>
    <s v="Line item"/>
    <n v="-0.58541279999999996"/>
    <n v="269.8"/>
    <n v="276.39999999999998"/>
    <n v="0.2"/>
    <n v="0.2"/>
    <n v="6.7"/>
    <n v="2.5"/>
    <n v="32.6"/>
    <n v="33"/>
    <n v="47520"/>
    <x v="3"/>
  </r>
  <r>
    <s v="Installation, maintenance, and repair workers, all other"/>
    <s v="49-9099"/>
    <x v="19"/>
    <s v="Line item"/>
    <n v="-0.59007909999999997"/>
    <n v="221.2"/>
    <n v="226.5"/>
    <n v="0.1"/>
    <n v="0.1"/>
    <n v="5.4"/>
    <n v="2.4"/>
    <n v="15.4"/>
    <n v="21.5"/>
    <n v="48640"/>
    <x v="3"/>
  </r>
  <r>
    <s v="First-line supervisors of firefighting and prevention workers"/>
    <s v="33-1021"/>
    <x v="16"/>
    <s v="Line item"/>
    <n v="-0.59302100000000002"/>
    <n v="97.2"/>
    <n v="100.5"/>
    <n v="0.1"/>
    <n v="0.1"/>
    <n v="3.4"/>
    <n v="3.4"/>
    <s v="—"/>
    <n v="6.5"/>
    <n v="92430"/>
    <x v="6"/>
  </r>
  <r>
    <s v="Cooks, short order"/>
    <s v="35-2015"/>
    <x v="20"/>
    <s v="Line item"/>
    <n v="-0.59338170000000001"/>
    <n v="151.1"/>
    <n v="142.69999999999999"/>
    <n v="0.1"/>
    <n v="0.1"/>
    <n v="-8.4"/>
    <n v="-5.6"/>
    <s v="—"/>
    <n v="20.6"/>
    <n v="35620"/>
    <x v="5"/>
  </r>
  <r>
    <s v="Animal control workers"/>
    <s v="33-9011"/>
    <x v="16"/>
    <s v="Line item"/>
    <n v="-0.5946321"/>
    <n v="12.2"/>
    <n v="12.7"/>
    <n v="0"/>
    <n v="0"/>
    <n v="0.5"/>
    <n v="3.9"/>
    <s v="—"/>
    <n v="1.3"/>
    <n v="45830"/>
    <x v="3"/>
  </r>
  <r>
    <s v="Ophthalmic laboratory technicians"/>
    <s v="51-9083"/>
    <x v="15"/>
    <s v="Line item"/>
    <n v="-0.59667590000000004"/>
    <n v="19.600000000000001"/>
    <n v="20"/>
    <n v="0"/>
    <n v="0"/>
    <n v="0.5"/>
    <n v="2.2999999999999998"/>
    <n v="4"/>
    <n v="2.4"/>
    <n v="38420"/>
    <x v="3"/>
  </r>
  <r>
    <s v="Sewers, hand"/>
    <s v="51-6051"/>
    <x v="15"/>
    <s v="Line item"/>
    <n v="-0.59872179999999997"/>
    <n v="5.4"/>
    <n v="5"/>
    <n v="0"/>
    <n v="0"/>
    <n v="-0.4"/>
    <n v="-7"/>
    <n v="57.2"/>
    <n v="0.7"/>
    <n v="33760"/>
    <x v="5"/>
  </r>
  <r>
    <s v="Patternmakers, metal and plastic"/>
    <s v="51-4062"/>
    <x v="15"/>
    <s v="Line item"/>
    <n v="-0.61313309999999999"/>
    <n v="1.6"/>
    <n v="1.2"/>
    <n v="0"/>
    <n v="0"/>
    <n v="-0.4"/>
    <n v="-24.4"/>
    <s v="—"/>
    <n v="0.1"/>
    <n v="54540"/>
    <x v="3"/>
  </r>
  <r>
    <s v="Subway and streetcar operators"/>
    <s v="53-4041"/>
    <x v="12"/>
    <s v="Line item"/>
    <n v="-0.6155429"/>
    <n v="9.6"/>
    <n v="9.9"/>
    <n v="0"/>
    <n v="0"/>
    <n v="0.3"/>
    <n v="3.4"/>
    <s v="—"/>
    <n v="0.9"/>
    <n v="84830"/>
    <x v="3"/>
  </r>
  <r>
    <s v="Bartenders"/>
    <s v="35-3011"/>
    <x v="20"/>
    <s v="Line item"/>
    <n v="-0.61598830000000004"/>
    <n v="756.7"/>
    <n v="801.5"/>
    <n v="0.4"/>
    <n v="0.5"/>
    <n v="44.8"/>
    <n v="5.9"/>
    <n v="0.4"/>
    <n v="129.6"/>
    <n v="33530"/>
    <x v="5"/>
  </r>
  <r>
    <s v="Parking enforcement workers"/>
    <s v="33-3041"/>
    <x v="16"/>
    <s v="Line item"/>
    <n v="-0.62399309999999997"/>
    <n v="8.4"/>
    <n v="8.1999999999999993"/>
    <n v="0"/>
    <n v="0"/>
    <n v="-0.1"/>
    <n v="-1.5"/>
    <s v="—"/>
    <n v="0.7"/>
    <n v="47150"/>
    <x v="3"/>
  </r>
  <r>
    <s v="Bridge and lock tenders"/>
    <s v="53-6011"/>
    <x v="12"/>
    <s v="Line item"/>
    <n v="-0.63221590000000005"/>
    <n v="2.9"/>
    <n v="2.8"/>
    <n v="0"/>
    <n v="0"/>
    <n v="-0.1"/>
    <n v="-3.3"/>
    <s v="—"/>
    <n v="0.3"/>
    <n v="58490"/>
    <x v="3"/>
  </r>
  <r>
    <s v="Radio, cellular, and tower equipment installers and repairers"/>
    <s v="49-2021"/>
    <x v="19"/>
    <s v="Line item"/>
    <n v="-0.63353820000000005"/>
    <n v="11.7"/>
    <n v="12.7"/>
    <n v="0"/>
    <n v="0"/>
    <n v="1"/>
    <n v="8.6"/>
    <n v="1.7"/>
    <n v="1.2"/>
    <n v="64190"/>
    <x v="4"/>
  </r>
  <r>
    <s v="Cooks, institution and cafeteria"/>
    <s v="35-2012"/>
    <x v="20"/>
    <s v="Line item"/>
    <n v="-0.63608129999999996"/>
    <n v="466.1"/>
    <n v="475.4"/>
    <n v="0.3"/>
    <n v="0.3"/>
    <n v="9.3000000000000007"/>
    <n v="2"/>
    <s v="—"/>
    <n v="69.7"/>
    <n v="36450"/>
    <x v="5"/>
  </r>
  <r>
    <s v="Semiconductor processing technicians"/>
    <s v="51-9141"/>
    <x v="15"/>
    <s v="Line item"/>
    <n v="-0.6372312"/>
    <n v="31.9"/>
    <n v="35.4"/>
    <n v="0"/>
    <n v="0"/>
    <n v="3.5"/>
    <n v="10.9"/>
    <s v="—"/>
    <n v="3.9"/>
    <n v="51180"/>
    <x v="3"/>
  </r>
  <r>
    <s v="Etchers and engravers"/>
    <s v="51-9194"/>
    <x v="15"/>
    <s v="Line item"/>
    <n v="-0.63952260000000005"/>
    <n v="8.6"/>
    <n v="8.6"/>
    <n v="0"/>
    <n v="0"/>
    <n v="-0.1"/>
    <n v="-0.7"/>
    <n v="3.2"/>
    <n v="0.9"/>
    <n v="40450"/>
    <x v="3"/>
  </r>
  <r>
    <s v="Aircraft mechanics and service technicians"/>
    <s v="49-3011"/>
    <x v="19"/>
    <s v="Line item"/>
    <n v="-0.65511969999999997"/>
    <n v="139.4"/>
    <n v="145"/>
    <n v="0.1"/>
    <n v="0.1"/>
    <n v="5.6"/>
    <n v="4"/>
    <s v="—"/>
    <n v="11.3"/>
    <n v="78680"/>
    <x v="6"/>
  </r>
  <r>
    <s v="Special education teachers, all other"/>
    <s v="25-2059"/>
    <x v="6"/>
    <s v="Line item"/>
    <n v="-0.66329170000000004"/>
    <n v="41"/>
    <n v="41.5"/>
    <n v="0"/>
    <n v="0"/>
    <n v="0.4"/>
    <n v="1.1000000000000001"/>
    <n v="1.6"/>
    <n v="2.9"/>
    <n v="67430"/>
    <x v="1"/>
  </r>
  <r>
    <s v="Police and sheriff's patrol officers"/>
    <s v="33-3051"/>
    <x v="16"/>
    <s v="Line item"/>
    <n v="-0.66811229999999999"/>
    <n v="698.8"/>
    <n v="720.8"/>
    <n v="0.4"/>
    <n v="0.4"/>
    <n v="22"/>
    <n v="3.1"/>
    <n v="0.1"/>
    <n v="53.7"/>
    <n v="76290"/>
    <x v="3"/>
  </r>
  <r>
    <s v="Plant and system operators, all other"/>
    <s v="51-8099"/>
    <x v="15"/>
    <s v="Line item"/>
    <n v="-0.67023869999999997"/>
    <n v="16.3"/>
    <n v="16.600000000000001"/>
    <n v="0"/>
    <n v="0"/>
    <n v="0.3"/>
    <n v="1.6"/>
    <s v="—"/>
    <n v="1.6"/>
    <n v="61710"/>
    <x v="3"/>
  </r>
  <r>
    <s v="Hairdressers, hairstylists, and cosmetologists"/>
    <s v="39-5012"/>
    <x v="14"/>
    <s v="Line item"/>
    <n v="-0.68245169999999999"/>
    <n v="575.20000000000005"/>
    <n v="607.4"/>
    <n v="0.3"/>
    <n v="0.3"/>
    <n v="32.200000000000003"/>
    <n v="5.6"/>
    <n v="47.6"/>
    <n v="75.8"/>
    <n v="35250"/>
    <x v="6"/>
  </r>
  <r>
    <s v="Hazardous materials removal workers"/>
    <s v="47-4041"/>
    <x v="17"/>
    <s v="Line item"/>
    <n v="-0.68874389999999996"/>
    <n v="51.3"/>
    <n v="51.8"/>
    <n v="0"/>
    <n v="0"/>
    <n v="0.5"/>
    <n v="1"/>
    <n v="0.1"/>
    <n v="5"/>
    <n v="48490"/>
    <x v="3"/>
  </r>
  <r>
    <s v="Gas compressor and gas pumping station operators"/>
    <s v="53-7071"/>
    <x v="12"/>
    <s v="Line item"/>
    <n v="-0.69099920000000004"/>
    <n v="5.4"/>
    <n v="5.3"/>
    <n v="0"/>
    <n v="0"/>
    <n v="-0.1"/>
    <n v="-1.3"/>
    <n v="3.6"/>
    <n v="0.6"/>
    <n v="71510"/>
    <x v="3"/>
  </r>
  <r>
    <s v="Security and fire alarm systems installers"/>
    <s v="49-2098"/>
    <x v="19"/>
    <s v="Line item"/>
    <n v="-0.69264840000000005"/>
    <n v="85.9"/>
    <n v="94.9"/>
    <n v="0.1"/>
    <n v="0.1"/>
    <n v="8.9"/>
    <n v="10.4"/>
    <n v="5.5"/>
    <n v="9.4"/>
    <n v="59300"/>
    <x v="3"/>
  </r>
  <r>
    <s v="Printing press operators"/>
    <s v="51-5112"/>
    <x v="15"/>
    <s v="Line item"/>
    <n v="-0.70938809999999997"/>
    <n v="150.19999999999999"/>
    <n v="138"/>
    <n v="0.1"/>
    <n v="0.1"/>
    <n v="-12.2"/>
    <n v="-8.1"/>
    <n v="4.2"/>
    <n v="13.7"/>
    <n v="45160"/>
    <x v="3"/>
  </r>
  <r>
    <s v="Cooks, fast food"/>
    <s v="35-2011"/>
    <x v="20"/>
    <s v="Line item"/>
    <n v="-0.71318369999999998"/>
    <n v="669.5"/>
    <n v="579.20000000000005"/>
    <n v="0.4"/>
    <n v="0.3"/>
    <n v="-90.3"/>
    <n v="-13.5"/>
    <s v="—"/>
    <n v="82.1"/>
    <n v="30160"/>
    <x v="5"/>
  </r>
  <r>
    <s v="Layout workers, metal and plastic"/>
    <s v="51-4192"/>
    <x v="15"/>
    <s v="Line item"/>
    <n v="-0.72213530000000004"/>
    <n v="5.7"/>
    <n v="5.4"/>
    <n v="0"/>
    <n v="0"/>
    <n v="-0.3"/>
    <n v="-5.4"/>
    <s v="—"/>
    <n v="0.5"/>
    <n v="61870"/>
    <x v="3"/>
  </r>
  <r>
    <s v="Coin, vending, and amusement machine servicers and repairers"/>
    <s v="49-9091"/>
    <x v="19"/>
    <s v="Line item"/>
    <n v="-0.72339949999999997"/>
    <n v="32.5"/>
    <n v="31.6"/>
    <n v="0"/>
    <n v="0"/>
    <n v="-0.9"/>
    <n v="-2.9"/>
    <n v="11.5"/>
    <n v="3.5"/>
    <n v="47350"/>
    <x v="3"/>
  </r>
  <r>
    <s v="Pest control workers"/>
    <s v="37-2021"/>
    <x v="21"/>
    <s v="Line item"/>
    <n v="-0.7255374"/>
    <n v="102.4"/>
    <n v="107.5"/>
    <n v="0.1"/>
    <n v="0.1"/>
    <n v="5.0999999999999996"/>
    <n v="4.9000000000000004"/>
    <n v="0.9"/>
    <n v="13.4"/>
    <n v="44730"/>
    <x v="3"/>
  </r>
  <r>
    <s v="Food servers, nonrestaurant"/>
    <s v="35-3041"/>
    <x v="20"/>
    <s v="Line item"/>
    <n v="-0.72702060000000002"/>
    <n v="277.2"/>
    <n v="285.3"/>
    <n v="0.2"/>
    <n v="0.2"/>
    <n v="8.1999999999999993"/>
    <n v="3"/>
    <n v="0.1"/>
    <n v="48"/>
    <n v="34460"/>
    <x v="5"/>
  </r>
  <r>
    <s v="Model makers, wood"/>
    <s v="51-7031"/>
    <x v="15"/>
    <s v="Line item"/>
    <n v="-0.7278869"/>
    <n v="0.9"/>
    <n v="0.9"/>
    <n v="0"/>
    <n v="0"/>
    <n v="0"/>
    <n v="-4.5"/>
    <n v="57.8"/>
    <n v="0.1"/>
    <n v="51850"/>
    <x v="3"/>
  </r>
  <r>
    <s v="Driver/sales workers"/>
    <s v="53-3031"/>
    <x v="12"/>
    <s v="Line item"/>
    <n v="-0.72930870000000003"/>
    <n v="451.5"/>
    <n v="491.3"/>
    <n v="0.3"/>
    <n v="0.3"/>
    <n v="39.799999999999997"/>
    <n v="8.8000000000000007"/>
    <n v="6.9"/>
    <n v="51.3"/>
    <n v="37130"/>
    <x v="3"/>
  </r>
  <r>
    <s v="Barbers"/>
    <s v="39-5011"/>
    <x v="14"/>
    <s v="Line item"/>
    <n v="-0.7294621"/>
    <n v="76"/>
    <n v="79.2"/>
    <n v="0"/>
    <n v="0"/>
    <n v="3.1"/>
    <n v="4.0999999999999996"/>
    <n v="75.599999999999994"/>
    <n v="8.4"/>
    <n v="38960"/>
    <x v="6"/>
  </r>
  <r>
    <s v="Medical equipment preparers"/>
    <s v="31-9093"/>
    <x v="13"/>
    <s v="Line item"/>
    <n v="-0.73086479999999998"/>
    <n v="76.5"/>
    <n v="84.2"/>
    <n v="0"/>
    <n v="0"/>
    <n v="7.6"/>
    <n v="10"/>
    <n v="3.4"/>
    <n v="10.9"/>
    <n v="46490"/>
    <x v="3"/>
  </r>
  <r>
    <s v="Embalmers"/>
    <s v="39-4011"/>
    <x v="14"/>
    <s v="Line item"/>
    <n v="-0.73114509999999999"/>
    <n v="3.6"/>
    <n v="3.7"/>
    <n v="0"/>
    <n v="0"/>
    <n v="0"/>
    <n v="1.3"/>
    <n v="4.8"/>
    <n v="0.6"/>
    <n v="56280"/>
    <x v="4"/>
  </r>
  <r>
    <s v="Cooks, restaurant"/>
    <s v="35-2014"/>
    <x v="20"/>
    <s v="Line item"/>
    <n v="-0.7418264"/>
    <n v="1460.2"/>
    <n v="1677.2"/>
    <n v="0.9"/>
    <n v="1"/>
    <n v="217"/>
    <n v="14.9"/>
    <s v="—"/>
    <n v="250.7"/>
    <n v="36830"/>
    <x v="5"/>
  </r>
  <r>
    <s v="Model makers, metal and plastic"/>
    <s v="51-4061"/>
    <x v="15"/>
    <s v="Line item"/>
    <n v="-0.74219769999999996"/>
    <n v="3.2"/>
    <n v="2.6"/>
    <n v="0"/>
    <n v="0"/>
    <n v="-0.6"/>
    <n v="-18.2"/>
    <s v="—"/>
    <n v="0.3"/>
    <n v="62700"/>
    <x v="3"/>
  </r>
  <r>
    <s v="Multiple machine tool setters, operators, and tenders, metal and plastic"/>
    <s v="51-4081"/>
    <x v="15"/>
    <s v="Line item"/>
    <n v="-0.74265999999999999"/>
    <n v="131"/>
    <n v="130.30000000000001"/>
    <n v="0.1"/>
    <n v="0.1"/>
    <n v="-0.7"/>
    <n v="-0.5"/>
    <n v="1.1000000000000001"/>
    <n v="12.8"/>
    <n v="46060"/>
    <x v="3"/>
  </r>
  <r>
    <s v="Shipping, receiving, and inventory clerks"/>
    <s v="43-5071"/>
    <x v="4"/>
    <s v="Line item"/>
    <n v="-0.74632129999999997"/>
    <n v="862.2"/>
    <n v="795.8"/>
    <n v="0.5"/>
    <n v="0.5"/>
    <n v="-66.3"/>
    <n v="-7.7"/>
    <n v="0.6"/>
    <n v="69.3"/>
    <n v="43190"/>
    <x v="3"/>
  </r>
  <r>
    <s v="Conveyor operators and tenders"/>
    <s v="53-7011"/>
    <x v="12"/>
    <s v="Line item"/>
    <n v="-0.75544319999999998"/>
    <n v="29.1"/>
    <n v="28.1"/>
    <n v="0"/>
    <n v="0"/>
    <n v="-1"/>
    <n v="-3.4"/>
    <n v="8.9"/>
    <n v="2.6"/>
    <n v="41230"/>
    <x v="5"/>
  </r>
  <r>
    <s v="Food and tobacco roasting, baking, and drying machine operators and tenders"/>
    <s v="51-3091"/>
    <x v="15"/>
    <s v="Line item"/>
    <n v="-0.75885899999999995"/>
    <n v="20.7"/>
    <n v="20.8"/>
    <n v="0"/>
    <n v="0"/>
    <n v="0.1"/>
    <n v="0.6"/>
    <n v="8.8000000000000007"/>
    <n v="2.4"/>
    <n v="42730"/>
    <x v="5"/>
  </r>
  <r>
    <s v="Drilling and boring machine tool setters, operators, and tenders, metal and plastic"/>
    <s v="51-4032"/>
    <x v="15"/>
    <s v="Line item"/>
    <n v="-0.75981319999999997"/>
    <n v="5.3"/>
    <n v="4.3"/>
    <n v="0"/>
    <n v="0"/>
    <n v="-1"/>
    <n v="-19.600000000000001"/>
    <s v="—"/>
    <n v="0.4"/>
    <n v="46630"/>
    <x v="3"/>
  </r>
  <r>
    <s v="Control and valve installers and repairers, except mechanical door"/>
    <s v="49-9012"/>
    <x v="19"/>
    <s v="Line item"/>
    <n v="-0.76069129999999996"/>
    <n v="47.7"/>
    <n v="48.3"/>
    <n v="0"/>
    <n v="0"/>
    <n v="0.6"/>
    <n v="1.3"/>
    <s v="—"/>
    <n v="3.9"/>
    <n v="74690"/>
    <x v="3"/>
  </r>
  <r>
    <s v="Flight attendants"/>
    <s v="53-2031"/>
    <x v="12"/>
    <s v="Line item"/>
    <n v="-0.76211830000000003"/>
    <n v="130.80000000000001"/>
    <n v="142.9"/>
    <n v="0.1"/>
    <n v="0.1"/>
    <n v="12.1"/>
    <n v="9.1999999999999993"/>
    <s v="—"/>
    <n v="19.8"/>
    <n v="67130"/>
    <x v="3"/>
  </r>
  <r>
    <s v="Motorcycle mechanics"/>
    <s v="49-3052"/>
    <x v="19"/>
    <s v="Line item"/>
    <n v="-0.76372099999999998"/>
    <n v="14.9"/>
    <n v="15.7"/>
    <n v="0"/>
    <n v="0"/>
    <n v="0.8"/>
    <n v="5.3"/>
    <n v="8"/>
    <n v="1.5"/>
    <n v="47200"/>
    <x v="6"/>
  </r>
  <r>
    <s v="Occupational therapy aides"/>
    <s v="31-2012"/>
    <x v="13"/>
    <s v="Line item"/>
    <n v="-0.77343220000000001"/>
    <n v="5.2"/>
    <n v="5.3"/>
    <n v="0"/>
    <n v="0"/>
    <n v="0.1"/>
    <n v="2.5"/>
    <s v="—"/>
    <n v="0.6"/>
    <n v="37370"/>
    <x v="3"/>
  </r>
  <r>
    <s v="Veterinary assistants and laboratory animal caretakers"/>
    <s v="31-9096"/>
    <x v="13"/>
    <s v="Line item"/>
    <n v="-0.7735824"/>
    <n v="117.8"/>
    <n v="128.1"/>
    <n v="0.1"/>
    <n v="0.1"/>
    <n v="10.3"/>
    <n v="8.6999999999999993"/>
    <n v="0.2"/>
    <n v="22.2"/>
    <n v="37320"/>
    <x v="3"/>
  </r>
  <r>
    <s v="Rotary drill operators, oil and gas"/>
    <s v="47-5012"/>
    <x v="17"/>
    <s v="Line item"/>
    <n v="-0.77373259999999999"/>
    <n v="13.3"/>
    <n v="13.4"/>
    <n v="0"/>
    <n v="0"/>
    <n v="0"/>
    <n v="0.2"/>
    <n v="1.4"/>
    <n v="1.2"/>
    <n v="65010"/>
    <x v="5"/>
  </r>
  <r>
    <s v="Electricians"/>
    <s v="47-2111"/>
    <x v="17"/>
    <s v="Line item"/>
    <n v="-0.77969049999999995"/>
    <n v="818.7"/>
    <n v="896.1"/>
    <n v="0.5"/>
    <n v="0.5"/>
    <n v="77.400000000000006"/>
    <n v="9.5"/>
    <n v="7.8"/>
    <n v="81"/>
    <n v="62350"/>
    <x v="3"/>
  </r>
  <r>
    <s v="Cooks, private household"/>
    <s v="35-2013"/>
    <x v="20"/>
    <s v="Line item"/>
    <n v="-0.78674440000000001"/>
    <n v="34.200000000000003"/>
    <n v="36"/>
    <n v="0"/>
    <n v="0"/>
    <n v="1.7"/>
    <n v="5.0999999999999996"/>
    <n v="86.9"/>
    <n v="5.3"/>
    <n v="44530"/>
    <x v="6"/>
  </r>
  <r>
    <s v="Electronic equipment installers and repairers, motor vehicles"/>
    <s v="49-2096"/>
    <x v="19"/>
    <s v="Line item"/>
    <n v="-0.79159679999999999"/>
    <n v="10.3"/>
    <n v="8.9"/>
    <n v="0"/>
    <n v="0"/>
    <n v="-1.4"/>
    <n v="-13.6"/>
    <s v="—"/>
    <n v="0.6"/>
    <n v="47940"/>
    <x v="3"/>
  </r>
  <r>
    <s v="Forging machine setters, operators, and tenders, metal and plastic"/>
    <s v="51-4022"/>
    <x v="15"/>
    <s v="Line item"/>
    <n v="-0.80466769999999999"/>
    <n v="8.8000000000000007"/>
    <n v="7.2"/>
    <n v="0"/>
    <n v="0"/>
    <n v="-1.7"/>
    <n v="-18.899999999999999"/>
    <s v="—"/>
    <n v="0.6"/>
    <n v="49240"/>
    <x v="3"/>
  </r>
  <r>
    <s v="Electric motor, power tool, and related repairers"/>
    <s v="49-2092"/>
    <x v="19"/>
    <s v="Line item"/>
    <n v="-0.81063410000000002"/>
    <n v="17.100000000000001"/>
    <n v="17.7"/>
    <n v="0"/>
    <n v="0"/>
    <n v="0.6"/>
    <n v="3.4"/>
    <n v="1.8"/>
    <n v="1.7"/>
    <n v="53990"/>
    <x v="3"/>
  </r>
  <r>
    <s v="Mail clerks and mail machine operators, except postal service"/>
    <s v="43-9051"/>
    <x v="4"/>
    <s v="Line item"/>
    <n v="-0.81846759999999996"/>
    <n v="67.400000000000006"/>
    <n v="62.9"/>
    <n v="0"/>
    <n v="0"/>
    <n v="-4.4000000000000004"/>
    <n v="-6.6"/>
    <n v="2.1"/>
    <n v="6.9"/>
    <n v="38150"/>
    <x v="3"/>
  </r>
  <r>
    <s v="Mixing and blending machine setters, operators, and tenders"/>
    <s v="51-9023"/>
    <x v="15"/>
    <s v="Line item"/>
    <n v="-0.81966399999999995"/>
    <n v="101.1"/>
    <n v="94.3"/>
    <n v="0.1"/>
    <n v="0.1"/>
    <n v="-6.8"/>
    <n v="-6.8"/>
    <s v="—"/>
    <n v="8.8000000000000007"/>
    <n v="47680"/>
    <x v="3"/>
  </r>
  <r>
    <s v="Transit and railroad police"/>
    <s v="33-3052"/>
    <x v="16"/>
    <s v="Line item"/>
    <n v="-0.82055149999999999"/>
    <n v="3.1"/>
    <n v="3.2"/>
    <n v="0"/>
    <n v="0"/>
    <n v="0.1"/>
    <n v="3"/>
    <n v="1.8"/>
    <n v="0.2"/>
    <n v="82320"/>
    <x v="3"/>
  </r>
  <r>
    <s v="Coil winders, tapers, and finishers"/>
    <s v="51-2021"/>
    <x v="15"/>
    <s v="Line item"/>
    <n v="-0.82897220000000005"/>
    <n v="12.2"/>
    <n v="11.5"/>
    <n v="0"/>
    <n v="0"/>
    <n v="-0.8"/>
    <n v="-6.3"/>
    <s v="—"/>
    <n v="1.2"/>
    <n v="47260"/>
    <x v="3"/>
  </r>
  <r>
    <s v="Ambulance drivers and attendants, except emergency medical technicians"/>
    <s v="53-3011"/>
    <x v="12"/>
    <s v="Line item"/>
    <n v="-0.82987029999999995"/>
    <n v="12.3"/>
    <n v="12.1"/>
    <n v="0"/>
    <n v="0"/>
    <n v="-0.2"/>
    <n v="-1.3"/>
    <s v="—"/>
    <n v="1.4"/>
    <n v="34330"/>
    <x v="3"/>
  </r>
  <r>
    <s v="Electrical and electronics installers and repairers, transportation equipment"/>
    <s v="49-2093"/>
    <x v="19"/>
    <s v="Line item"/>
    <n v="-0.83038749999999995"/>
    <n v="7"/>
    <n v="7.4"/>
    <n v="0"/>
    <n v="0"/>
    <n v="0.4"/>
    <n v="6.1"/>
    <s v="—"/>
    <n v="0.6"/>
    <n v="82730"/>
    <x v="6"/>
  </r>
  <r>
    <s v="Rail yard engineers, dinkey operators, and hostlers"/>
    <s v="53-4013"/>
    <x v="12"/>
    <s v="Line item"/>
    <n v="-0.83209069999999996"/>
    <n v="3.1"/>
    <n v="3.1"/>
    <n v="0"/>
    <n v="0"/>
    <n v="0"/>
    <n v="0.3"/>
    <s v="—"/>
    <n v="0.2"/>
    <n v="58030"/>
    <x v="3"/>
  </r>
  <r>
    <s v="Parking attendants"/>
    <s v="53-6021"/>
    <x v="12"/>
    <s v="Line item"/>
    <n v="-0.8353891"/>
    <n v="135.69999999999999"/>
    <n v="139.80000000000001"/>
    <n v="0.1"/>
    <n v="0.1"/>
    <n v="4"/>
    <n v="3"/>
    <s v="—"/>
    <n v="18.5"/>
    <n v="34600"/>
    <x v="5"/>
  </r>
  <r>
    <s v="Pump operators, except wellhead pumpers"/>
    <s v="53-7072"/>
    <x v="12"/>
    <s v="Line item"/>
    <n v="-0.84229270000000001"/>
    <n v="13.1"/>
    <n v="13.5"/>
    <n v="0"/>
    <n v="0"/>
    <n v="0.3"/>
    <n v="2.6"/>
    <n v="3.6"/>
    <n v="1.5"/>
    <n v="60020"/>
    <x v="3"/>
  </r>
  <r>
    <s v="Heating, air conditioning, and refrigeration mechanics and installers"/>
    <s v="49-9021"/>
    <x v="19"/>
    <s v="Line item"/>
    <n v="-0.84911170000000002"/>
    <n v="425.2"/>
    <n v="459.7"/>
    <n v="0.3"/>
    <n v="0.3"/>
    <n v="34.5"/>
    <n v="8.1"/>
    <n v="4.8"/>
    <n v="40.1"/>
    <n v="59810"/>
    <x v="6"/>
  </r>
  <r>
    <s v="Telecommunications equipment installers and repairers, except line installers"/>
    <s v="49-2022"/>
    <x v="19"/>
    <s v="Line item"/>
    <n v="-0.85304800000000003"/>
    <n v="156.9"/>
    <n v="150.4"/>
    <n v="0.1"/>
    <n v="0.1"/>
    <n v="-6.6"/>
    <n v="-4.2"/>
    <n v="1.9"/>
    <n v="13.2"/>
    <n v="62630"/>
    <x v="6"/>
  </r>
  <r>
    <s v="Signal and track switch repairers"/>
    <s v="49-9097"/>
    <x v="19"/>
    <s v="Line item"/>
    <n v="-0.85822100000000001"/>
    <n v="8.6999999999999993"/>
    <n v="8.8000000000000007"/>
    <n v="0"/>
    <n v="0"/>
    <n v="0.1"/>
    <n v="1.7"/>
    <n v="15.3"/>
    <n v="0.8"/>
    <n v="83600"/>
    <x v="3"/>
  </r>
  <r>
    <s v="Extruding and forming machine setters, operators, and tenders, synthetic and glass fibers"/>
    <s v="51-6091"/>
    <x v="15"/>
    <s v="Line item"/>
    <n v="-0.85969249999999997"/>
    <n v="15.2"/>
    <n v="15"/>
    <n v="0"/>
    <n v="0"/>
    <n v="-0.2"/>
    <n v="-1.1000000000000001"/>
    <s v="—"/>
    <n v="2"/>
    <n v="44980"/>
    <x v="3"/>
  </r>
  <r>
    <s v="Elevator and escalator installers and repairers"/>
    <s v="47-4021"/>
    <x v="17"/>
    <s v="Line item"/>
    <n v="-0.86047419999999997"/>
    <n v="24.2"/>
    <n v="25.4"/>
    <n v="0"/>
    <n v="0"/>
    <n v="1.2"/>
    <n v="5"/>
    <s v="—"/>
    <n v="2"/>
    <n v="106580"/>
    <x v="3"/>
  </r>
  <r>
    <s v="Textile bleaching and dyeing machine operators and tenders"/>
    <s v="51-6061"/>
    <x v="15"/>
    <s v="Line item"/>
    <n v="-0.86093120000000001"/>
    <n v="6.2"/>
    <n v="5.5"/>
    <n v="0"/>
    <n v="0"/>
    <n v="-0.6"/>
    <n v="-10.1"/>
    <n v="2.4"/>
    <n v="0.7"/>
    <n v="37320"/>
    <x v="3"/>
  </r>
  <r>
    <s v="Locksmiths and safe repairers"/>
    <s v="49-9094"/>
    <x v="19"/>
    <s v="Line item"/>
    <n v="-0.86574980000000001"/>
    <n v="18.8"/>
    <n v="17.2"/>
    <n v="0"/>
    <n v="0"/>
    <n v="-1.6"/>
    <n v="-8.3000000000000007"/>
    <n v="16.2"/>
    <n v="1.7"/>
    <n v="50490"/>
    <x v="3"/>
  </r>
  <r>
    <s v="Machinists"/>
    <s v="51-4041"/>
    <x v="15"/>
    <s v="Line item"/>
    <n v="-0.86755349999999998"/>
    <n v="299.5"/>
    <n v="299.60000000000002"/>
    <n v="0.2"/>
    <n v="0.2"/>
    <n v="0"/>
    <n v="0"/>
    <n v="0.3"/>
    <n v="29.5"/>
    <n v="56150"/>
    <x v="3"/>
  </r>
  <r>
    <s v="Aircraft structure, surfaces, rigging, and systems assemblers"/>
    <s v="51-2011"/>
    <x v="15"/>
    <s v="Line item"/>
    <n v="-0.86847059999999998"/>
    <n v="33.6"/>
    <n v="28.7"/>
    <n v="0"/>
    <n v="0"/>
    <n v="-4.9000000000000004"/>
    <n v="-14.5"/>
    <n v="0.7"/>
    <n v="2.8"/>
    <n v="61680"/>
    <x v="3"/>
  </r>
  <r>
    <s v="Milling and planing machine setters, operators, and tenders, metal and plastic"/>
    <s v="51-4035"/>
    <x v="15"/>
    <s v="Line item"/>
    <n v="-0.87032189999999998"/>
    <n v="13.8"/>
    <n v="11.8"/>
    <n v="0"/>
    <n v="0"/>
    <n v="-2"/>
    <n v="-14.4"/>
    <s v="—"/>
    <n v="1.1000000000000001"/>
    <n v="48310"/>
    <x v="3"/>
  </r>
  <r>
    <s v="Paper goods machine setters, operators, and tenders"/>
    <s v="51-9196"/>
    <x v="15"/>
    <s v="Line item"/>
    <n v="-0.8740445"/>
    <n v="97.5"/>
    <n v="91.4"/>
    <n v="0.1"/>
    <n v="0.1"/>
    <n v="-6.1"/>
    <n v="-6.3"/>
    <n v="1.2"/>
    <n v="8.1"/>
    <n v="49390"/>
    <x v="3"/>
  </r>
  <r>
    <s v="Tool grinders, filers, and sharpeners"/>
    <s v="51-4194"/>
    <x v="15"/>
    <s v="Line item"/>
    <n v="-0.88092380000000003"/>
    <n v="5.8"/>
    <n v="5.4"/>
    <n v="0"/>
    <n v="0"/>
    <n v="-0.5"/>
    <n v="-7.8"/>
    <n v="1"/>
    <n v="0.5"/>
    <n v="48970"/>
    <x v="3"/>
  </r>
  <r>
    <s v="Operating engineers and other construction equipment operators"/>
    <s v="47-2073"/>
    <x v="17"/>
    <s v="Line item"/>
    <n v="-0.88150779999999995"/>
    <n v="489.3"/>
    <n v="507.1"/>
    <n v="0.3"/>
    <n v="0.3"/>
    <n v="17.8"/>
    <n v="3.6"/>
    <n v="2.5"/>
    <n v="41.9"/>
    <n v="58710"/>
    <x v="3"/>
  </r>
  <r>
    <s v="Physical therapist aides"/>
    <s v="31-2022"/>
    <x v="13"/>
    <s v="Line item"/>
    <n v="-0.88232650000000001"/>
    <n v="45.6"/>
    <n v="46.9"/>
    <n v="0"/>
    <n v="0"/>
    <n v="1.3"/>
    <n v="2.8"/>
    <n v="0.7"/>
    <n v="6.6"/>
    <n v="34520"/>
    <x v="3"/>
  </r>
  <r>
    <s v="Pesticide handlers, sprayers, and applicators, vegetation"/>
    <s v="37-3012"/>
    <x v="21"/>
    <s v="Line item"/>
    <n v="-0.88479350000000001"/>
    <n v="29.6"/>
    <n v="30.7"/>
    <n v="0"/>
    <n v="0"/>
    <n v="1.1000000000000001"/>
    <n v="3.8"/>
    <n v="1.9"/>
    <n v="4.0999999999999996"/>
    <n v="45200"/>
    <x v="3"/>
  </r>
  <r>
    <s v="Motorboat mechanics and service technicians"/>
    <s v="49-3051"/>
    <x v="19"/>
    <s v="Line item"/>
    <n v="-0.88636020000000004"/>
    <n v="26.2"/>
    <n v="27.8"/>
    <n v="0"/>
    <n v="0"/>
    <n v="1.6"/>
    <n v="6"/>
    <n v="7.9"/>
    <n v="2.6"/>
    <n v="54950"/>
    <x v="3"/>
  </r>
  <r>
    <s v="Motorboat operators"/>
    <s v="53-5022"/>
    <x v="12"/>
    <s v="Line item"/>
    <n v="-0.88711859999999998"/>
    <n v="2.7"/>
    <n v="2.8"/>
    <n v="0"/>
    <n v="0"/>
    <n v="0"/>
    <n v="1.4"/>
    <n v="6.5"/>
    <n v="0.3"/>
    <n v="51880"/>
    <x v="6"/>
  </r>
  <r>
    <s v="Correctional officers and jailers"/>
    <s v="33-3012"/>
    <x v="16"/>
    <s v="Line item"/>
    <n v="-0.88753649999999995"/>
    <n v="387.5"/>
    <n v="357.4"/>
    <n v="0.2"/>
    <n v="0.2"/>
    <n v="-30.1"/>
    <n v="-7.8"/>
    <s v="—"/>
    <n v="30.1"/>
    <n v="57970"/>
    <x v="3"/>
  </r>
  <r>
    <s v="Animal caretakers"/>
    <s v="39-2021"/>
    <x v="14"/>
    <s v="Line item"/>
    <n v="-0.88904079999999996"/>
    <n v="392.1"/>
    <n v="439.6"/>
    <n v="0.2"/>
    <n v="0.3"/>
    <n v="47.6"/>
    <n v="12.1"/>
    <n v="25.2"/>
    <n v="74.599999999999994"/>
    <n v="33470"/>
    <x v="3"/>
  </r>
  <r>
    <s v="Outdoor power equipment and other small engine mechanics"/>
    <s v="49-3053"/>
    <x v="19"/>
    <s v="Line item"/>
    <n v="-0.89414079999999996"/>
    <n v="36.9"/>
    <n v="37.799999999999997"/>
    <n v="0"/>
    <n v="0"/>
    <n v="0.9"/>
    <n v="2.5"/>
    <n v="7.6"/>
    <n v="3.5"/>
    <n v="46560"/>
    <x v="3"/>
  </r>
  <r>
    <s v="Plating machine setters, operators, and tenders, metal and plastic"/>
    <s v="51-4193"/>
    <x v="15"/>
    <s v="Line item"/>
    <n v="-0.8999876"/>
    <n v="31.7"/>
    <n v="27.4"/>
    <n v="0"/>
    <n v="0"/>
    <n v="-4.3"/>
    <n v="-13.6"/>
    <n v="1"/>
    <n v="2.5"/>
    <n v="41600"/>
    <x v="3"/>
  </r>
  <r>
    <s v="Shampooers"/>
    <s v="39-5093"/>
    <x v="14"/>
    <s v="Line item"/>
    <n v="-0.90537100000000004"/>
    <n v="18.5"/>
    <n v="19.600000000000001"/>
    <n v="0"/>
    <n v="0"/>
    <n v="1"/>
    <n v="5.5"/>
    <n v="50.9"/>
    <n v="2.7"/>
    <n v="31470"/>
    <x v="5"/>
  </r>
  <r>
    <s v="Print binding and finishing workers"/>
    <s v="51-5113"/>
    <x v="15"/>
    <s v="Line item"/>
    <n v="-0.90620889999999998"/>
    <n v="35.799999999999997"/>
    <n v="30"/>
    <n v="0"/>
    <n v="0"/>
    <n v="-5.8"/>
    <n v="-16.100000000000001"/>
    <s v="—"/>
    <n v="2.8"/>
    <n v="39820"/>
    <x v="3"/>
  </r>
  <r>
    <s v="Animal trainers"/>
    <s v="39-2011"/>
    <x v="14"/>
    <s v="Line item"/>
    <n v="-0.91677589999999998"/>
    <n v="47.3"/>
    <n v="49.8"/>
    <n v="0"/>
    <n v="0"/>
    <n v="2.4"/>
    <n v="5.0999999999999996"/>
    <n v="38.799999999999997"/>
    <n v="7.1"/>
    <n v="38750"/>
    <x v="3"/>
  </r>
  <r>
    <s v="Bicycle repairers"/>
    <s v="49-3091"/>
    <x v="19"/>
    <s v="Line item"/>
    <n v="-0.92260679999999995"/>
    <n v="13.2"/>
    <n v="12.9"/>
    <n v="0"/>
    <n v="0"/>
    <n v="-0.3"/>
    <n v="-2.2999999999999998"/>
    <n v="5"/>
    <n v="1.6"/>
    <n v="40360"/>
    <x v="3"/>
  </r>
  <r>
    <s v="Recreational vehicle service technicians"/>
    <s v="49-3092"/>
    <x v="19"/>
    <s v="Line item"/>
    <n v="-0.92440520000000004"/>
    <n v="19.5"/>
    <n v="21.7"/>
    <n v="0"/>
    <n v="0"/>
    <n v="2.2000000000000002"/>
    <n v="11.5"/>
    <n v="5.0999999999999996"/>
    <n v="2.8"/>
    <n v="50540"/>
    <x v="3"/>
  </r>
  <r>
    <s v="Craft artists"/>
    <s v="27-1012"/>
    <x v="11"/>
    <s v="Line item"/>
    <n v="-0.92952840000000003"/>
    <n v="11.6"/>
    <n v="11.9"/>
    <n v="0"/>
    <n v="0"/>
    <n v="0.2"/>
    <n v="2.1"/>
    <n v="62.6"/>
    <n v="1"/>
    <n v="38480"/>
    <x v="5"/>
  </r>
  <r>
    <s v="Separating, filtering, clarifying, precipitating, and still machine setters, operators, and tenders"/>
    <s v="51-9012"/>
    <x v="15"/>
    <s v="Line item"/>
    <n v="-0.93791409999999997"/>
    <n v="54.4"/>
    <n v="52"/>
    <n v="0"/>
    <n v="0"/>
    <n v="-2.2999999999999998"/>
    <n v="-4.3"/>
    <n v="0.4"/>
    <n v="5.4"/>
    <n v="49500"/>
    <x v="3"/>
  </r>
  <r>
    <s v="Solar photovoltaic installers"/>
    <s v="47-2231"/>
    <x v="17"/>
    <s v="Line item"/>
    <n v="-0.94416920000000004"/>
    <n v="28.6"/>
    <n v="40.6"/>
    <n v="0"/>
    <n v="0"/>
    <n v="12"/>
    <n v="42.1"/>
    <s v="—"/>
    <n v="4.0999999999999996"/>
    <n v="51860"/>
    <x v="3"/>
  </r>
  <r>
    <s v="Cutters and trimmers, hand"/>
    <s v="51-9031"/>
    <x v="15"/>
    <s v="Line item"/>
    <n v="-0.94798389999999999"/>
    <n v="7"/>
    <n v="5.7"/>
    <n v="0"/>
    <n v="0"/>
    <n v="-1.3"/>
    <n v="-18.100000000000001"/>
    <n v="3.4"/>
    <n v="0.6"/>
    <n v="38800"/>
    <x v="5"/>
  </r>
  <r>
    <s v="Waiters and waitresses"/>
    <s v="35-3031"/>
    <x v="20"/>
    <s v="Line item"/>
    <n v="-0.94810030000000001"/>
    <n v="2329.6999999999998"/>
    <n v="2313.5"/>
    <n v="1.4"/>
    <n v="1.3"/>
    <n v="-16.3"/>
    <n v="-0.7"/>
    <n v="0.7"/>
    <n v="456.7"/>
    <n v="33760"/>
    <x v="5"/>
  </r>
  <r>
    <s v="Automotive service technicians and mechanics"/>
    <s v="49-3023"/>
    <x v="19"/>
    <s v="Line item"/>
    <n v="-0.95470549999999998"/>
    <n v="805.6"/>
    <n v="839.2"/>
    <n v="0.5"/>
    <n v="0.5"/>
    <n v="33.6"/>
    <n v="4.2"/>
    <n v="13.8"/>
    <n v="70"/>
    <n v="49670"/>
    <x v="6"/>
  </r>
  <r>
    <s v="Engine and other machine assemblers"/>
    <s v="51-2031"/>
    <x v="15"/>
    <s v="Line item"/>
    <n v="-0.95614529999999998"/>
    <n v="38.4"/>
    <n v="30.3"/>
    <n v="0"/>
    <n v="0"/>
    <n v="-8.1"/>
    <n v="-21.1"/>
    <s v="—"/>
    <n v="2.8"/>
    <n v="52540"/>
    <x v="3"/>
  </r>
  <r>
    <s v="Furnace, kiln, oven, drier, and kettle operators and tenders"/>
    <s v="51-9051"/>
    <x v="15"/>
    <s v="Line item"/>
    <n v="-0.95823460000000005"/>
    <n v="16.5"/>
    <n v="17"/>
    <n v="0"/>
    <n v="0"/>
    <n v="0.5"/>
    <n v="3"/>
    <n v="1.5"/>
    <n v="1.9"/>
    <n v="47010"/>
    <x v="3"/>
  </r>
  <r>
    <s v="Couriers and messengers"/>
    <s v="43-5021"/>
    <x v="4"/>
    <s v="Line item"/>
    <n v="-0.95911259999999998"/>
    <n v="247.2"/>
    <n v="267.60000000000002"/>
    <n v="0.1"/>
    <n v="0.2"/>
    <n v="20.399999999999999"/>
    <n v="8.1999999999999993"/>
    <n v="70.2"/>
    <n v="27.9"/>
    <n v="38340"/>
    <x v="3"/>
  </r>
  <r>
    <s v="Cooling and freezing equipment operators and tenders"/>
    <s v="51-9193"/>
    <x v="15"/>
    <s v="Line item"/>
    <n v="-0.96049519999999999"/>
    <n v="7.1"/>
    <n v="7.6"/>
    <n v="0"/>
    <n v="0"/>
    <n v="0.5"/>
    <n v="7.2"/>
    <n v="3.7"/>
    <n v="0.8"/>
    <n v="40160"/>
    <x v="3"/>
  </r>
  <r>
    <s v="Sewing machine operators"/>
    <s v="51-6031"/>
    <x v="15"/>
    <s v="Line item"/>
    <n v="-0.96396610000000005"/>
    <n v="124"/>
    <n v="110.7"/>
    <n v="0.1"/>
    <n v="0.1"/>
    <n v="-13.3"/>
    <n v="-10.8"/>
    <n v="11.2"/>
    <n v="13"/>
    <n v="36000"/>
    <x v="5"/>
  </r>
  <r>
    <s v="Home appliance repairers"/>
    <s v="49-9031"/>
    <x v="19"/>
    <s v="Line item"/>
    <n v="-0.97037989999999996"/>
    <n v="37.299999999999997"/>
    <n v="38.299999999999997"/>
    <n v="0"/>
    <n v="0"/>
    <n v="1"/>
    <n v="2.6"/>
    <n v="14.7"/>
    <n v="3.1"/>
    <n v="49410"/>
    <x v="3"/>
  </r>
  <r>
    <s v="Painting, coating, and decorating workers"/>
    <s v="51-9123"/>
    <x v="15"/>
    <s v="Line item"/>
    <n v="-0.9705587"/>
    <n v="8.8000000000000007"/>
    <n v="8.9"/>
    <n v="0"/>
    <n v="0"/>
    <n v="0.1"/>
    <n v="1.4"/>
    <n v="3.5"/>
    <n v="0.8"/>
    <n v="40860"/>
    <x v="5"/>
  </r>
  <r>
    <s v="Butchers and meat cutters"/>
    <s v="51-3021"/>
    <x v="15"/>
    <s v="Line item"/>
    <n v="-0.97099239999999998"/>
    <n v="143.1"/>
    <n v="144.5"/>
    <n v="0.1"/>
    <n v="0.1"/>
    <n v="1.4"/>
    <n v="1"/>
    <n v="1.8"/>
    <n v="16.899999999999999"/>
    <n v="38960"/>
    <x v="5"/>
  </r>
  <r>
    <s v="Wind turbine service technicians"/>
    <s v="49-9081"/>
    <x v="19"/>
    <s v="Line item"/>
    <n v="-0.97099349999999995"/>
    <n v="13.6"/>
    <n v="20.5"/>
    <n v="0"/>
    <n v="0"/>
    <n v="6.8"/>
    <n v="49.9"/>
    <n v="16.7"/>
    <n v="2.2999999999999998"/>
    <n v="62580"/>
    <x v="6"/>
  </r>
  <r>
    <s v="Service unit operators, oil and gas"/>
    <s v="47-5013"/>
    <x v="17"/>
    <s v="Line item"/>
    <n v="-0.971916"/>
    <n v="45.2"/>
    <n v="45.4"/>
    <n v="0"/>
    <n v="0"/>
    <n v="0.2"/>
    <n v="0.4"/>
    <n v="1.4"/>
    <n v="4.0999999999999996"/>
    <n v="57980"/>
    <x v="5"/>
  </r>
  <r>
    <s v="Meter readers, utilities"/>
    <s v="43-5041"/>
    <x v="4"/>
    <s v="Line item"/>
    <n v="-0.97237720000000005"/>
    <n v="20.100000000000001"/>
    <n v="17.7"/>
    <n v="0"/>
    <n v="0"/>
    <n v="-2.4"/>
    <n v="-12"/>
    <s v="—"/>
    <n v="1.3"/>
    <n v="49180"/>
    <x v="3"/>
  </r>
  <r>
    <s v="Maintenance workers, machinery"/>
    <s v="49-9043"/>
    <x v="19"/>
    <s v="Line item"/>
    <n v="-0.9735492"/>
    <n v="57.5"/>
    <n v="55.9"/>
    <n v="0"/>
    <n v="0"/>
    <n v="-1.6"/>
    <n v="-2.8"/>
    <s v="—"/>
    <n v="4.8"/>
    <n v="60500"/>
    <x v="3"/>
  </r>
  <r>
    <s v="Hoist and winch operators"/>
    <s v="53-7041"/>
    <x v="12"/>
    <s v="Line item"/>
    <n v="-0.97819970000000001"/>
    <n v="2.7"/>
    <n v="2.7"/>
    <n v="0"/>
    <n v="0"/>
    <n v="0"/>
    <n v="-1.1000000000000001"/>
    <n v="7.8"/>
    <n v="0.3"/>
    <n v="52310"/>
    <x v="5"/>
  </r>
  <r>
    <s v="Packaging and filling machine operators and tenders"/>
    <s v="51-9111"/>
    <x v="15"/>
    <s v="Line item"/>
    <n v="-0.97860800000000003"/>
    <n v="381.2"/>
    <n v="398.2"/>
    <n v="0.2"/>
    <n v="0.2"/>
    <n v="17"/>
    <n v="4.5"/>
    <s v="—"/>
    <n v="45.3"/>
    <n v="40900"/>
    <x v="3"/>
  </r>
  <r>
    <s v="Grinding, lapping, polishing, and buffing machine tool setters, operators, and tenders, metal and plastic"/>
    <s v="51-4033"/>
    <x v="15"/>
    <s v="Line item"/>
    <n v="-0.9901662"/>
    <n v="70.099999999999994"/>
    <n v="61.7"/>
    <n v="0"/>
    <n v="0"/>
    <n v="-8.4"/>
    <n v="-12"/>
    <s v="—"/>
    <n v="5.5"/>
    <n v="45190"/>
    <x v="3"/>
  </r>
  <r>
    <s v="Shoe and leather workers and repairers"/>
    <s v="51-6041"/>
    <x v="15"/>
    <s v="Line item"/>
    <n v="-0.99091200000000002"/>
    <n v="9.5"/>
    <n v="9.1"/>
    <n v="0"/>
    <n v="0"/>
    <n v="-0.4"/>
    <n v="-3.8"/>
    <n v="19.100000000000001"/>
    <n v="0.9"/>
    <n v="35950"/>
    <x v="3"/>
  </r>
  <r>
    <s v="Merchandise displayers and window trimmers"/>
    <s v="27-1026"/>
    <x v="11"/>
    <s v="Line item"/>
    <n v="-1.0014130000000001"/>
    <n v="193"/>
    <n v="199.3"/>
    <n v="0.1"/>
    <n v="0.1"/>
    <n v="6.2"/>
    <n v="3.2"/>
    <n v="0.1"/>
    <n v="20.8"/>
    <n v="37350"/>
    <x v="3"/>
  </r>
  <r>
    <s v="Welding, soldering, and brazing machine setters, operators, and tenders"/>
    <s v="51-4122"/>
    <x v="15"/>
    <s v="Line item"/>
    <n v="-1.0024109999999999"/>
    <n v="38.9"/>
    <n v="35.4"/>
    <n v="0"/>
    <n v="0"/>
    <n v="-3.5"/>
    <n v="-9"/>
    <n v="6.4"/>
    <n v="3.2"/>
    <n v="47060"/>
    <x v="3"/>
  </r>
  <r>
    <s v="Logging equipment operators"/>
    <s v="45-4022"/>
    <x v="18"/>
    <s v="Line item"/>
    <n v="-1.0037020000000001"/>
    <n v="30.9"/>
    <n v="30.5"/>
    <n v="0"/>
    <n v="0"/>
    <n v="-0.4"/>
    <n v="-1.4"/>
    <n v="29.1"/>
    <n v="4.2"/>
    <n v="49210"/>
    <x v="3"/>
  </r>
  <r>
    <s v="Pourers and casters, metal"/>
    <s v="51-4052"/>
    <x v="15"/>
    <s v="Line item"/>
    <n v="-1.0091399999999999"/>
    <n v="5.9"/>
    <n v="5.7"/>
    <n v="0"/>
    <n v="0"/>
    <n v="-0.3"/>
    <n v="-4.7"/>
    <n v="1.2"/>
    <n v="0.6"/>
    <n v="48940"/>
    <x v="3"/>
  </r>
  <r>
    <s v="Bus and truck mechanics and diesel engine specialists"/>
    <s v="49-3031"/>
    <x v="19"/>
    <s v="Line item"/>
    <n v="-1.010472"/>
    <n v="319.89999999999998"/>
    <n v="327.7"/>
    <n v="0.2"/>
    <n v="0.2"/>
    <n v="7.8"/>
    <n v="2.4"/>
    <n v="6.8"/>
    <n v="26.5"/>
    <n v="60640"/>
    <x v="3"/>
  </r>
  <r>
    <s v="Maintenance and repair workers, general"/>
    <s v="49-9071"/>
    <x v="19"/>
    <s v="Line item"/>
    <n v="-1.014408"/>
    <n v="1629.7"/>
    <n v="1692.1"/>
    <n v="1"/>
    <n v="1"/>
    <n v="62.4"/>
    <n v="3.8"/>
    <n v="1.1000000000000001"/>
    <n v="159.80000000000001"/>
    <n v="48620"/>
    <x v="3"/>
  </r>
  <r>
    <s v="Dredge operators"/>
    <s v="53-7031"/>
    <x v="12"/>
    <s v="Line item"/>
    <n v="-1.016648"/>
    <n v="1.1000000000000001"/>
    <n v="1.2"/>
    <n v="0"/>
    <n v="0"/>
    <n v="0"/>
    <n v="1.2"/>
    <n v="8"/>
    <n v="0.1"/>
    <n v="48430"/>
    <x v="3"/>
  </r>
  <r>
    <s v="Textile cutting machine setters, operators, and tenders"/>
    <s v="51-6062"/>
    <x v="15"/>
    <s v="Line item"/>
    <n v="-1.0229490000000001"/>
    <n v="9.3000000000000007"/>
    <n v="8.1999999999999993"/>
    <n v="0"/>
    <n v="0"/>
    <n v="-1.1000000000000001"/>
    <n v="-11.7"/>
    <n v="2.4"/>
    <n v="1"/>
    <n v="37940"/>
    <x v="3"/>
  </r>
  <r>
    <s v="Shoe machine operators and tenders"/>
    <s v="51-6042"/>
    <x v="15"/>
    <s v="Line item"/>
    <n v="-1.029855"/>
    <n v="4.0999999999999996"/>
    <n v="3.9"/>
    <n v="0"/>
    <n v="0"/>
    <n v="-0.2"/>
    <n v="-3.7"/>
    <n v="19"/>
    <n v="0.4"/>
    <n v="38160"/>
    <x v="3"/>
  </r>
  <r>
    <s v="Crane and tower operators"/>
    <s v="53-7021"/>
    <x v="12"/>
    <s v="Line item"/>
    <n v="-1.030619"/>
    <n v="42.3"/>
    <n v="43.5"/>
    <n v="0"/>
    <n v="0"/>
    <n v="1.3"/>
    <n v="3"/>
    <s v="—"/>
    <n v="3.8"/>
    <n v="66370"/>
    <x v="3"/>
  </r>
  <r>
    <s v="Cutting, punching, and press machine setters, operators, and tenders, metal and plastic"/>
    <s v="51-4031"/>
    <x v="15"/>
    <s v="Line item"/>
    <n v="-1.0365690000000001"/>
    <n v="174.7"/>
    <n v="153.6"/>
    <n v="0.1"/>
    <n v="0.1"/>
    <n v="-21.1"/>
    <n v="-12.1"/>
    <s v="—"/>
    <n v="14.4"/>
    <n v="45590"/>
    <x v="3"/>
  </r>
  <r>
    <s v="Machine feeders and offbearers"/>
    <s v="53-7063"/>
    <x v="12"/>
    <s v="Line item"/>
    <n v="-1.0374129999999999"/>
    <n v="46.5"/>
    <n v="40.4"/>
    <n v="0"/>
    <n v="0"/>
    <n v="-6"/>
    <n v="-13"/>
    <n v="0.9"/>
    <n v="4.7"/>
    <n v="39700"/>
    <x v="5"/>
  </r>
  <r>
    <s v="Extruding, forming, pressing, and compacting machine setters, operators, and tenders"/>
    <s v="51-9041"/>
    <x v="15"/>
    <s v="Line item"/>
    <n v="-1.042151"/>
    <n v="57.3"/>
    <n v="58.4"/>
    <n v="0"/>
    <n v="0"/>
    <n v="1.1000000000000001"/>
    <n v="2"/>
    <s v="—"/>
    <n v="5.2"/>
    <n v="45130"/>
    <x v="3"/>
  </r>
  <r>
    <s v="Crushing, grinding, and polishing machine setters, operators, and tenders"/>
    <s v="51-9021"/>
    <x v="15"/>
    <s v="Line item"/>
    <n v="-1.0434760000000001"/>
    <n v="28.7"/>
    <n v="27.9"/>
    <n v="0"/>
    <n v="0"/>
    <n v="-0.7"/>
    <n v="-2.5"/>
    <s v="—"/>
    <n v="2.7"/>
    <n v="46890"/>
    <x v="3"/>
  </r>
  <r>
    <s v="Animal breeders"/>
    <s v="45-2021"/>
    <x v="18"/>
    <s v="Line item"/>
    <n v="-1.044292"/>
    <n v="7.9"/>
    <n v="8.1"/>
    <n v="0"/>
    <n v="0"/>
    <n v="0.2"/>
    <n v="2.4"/>
    <n v="3.4"/>
    <n v="1.2"/>
    <n v="52000"/>
    <x v="3"/>
  </r>
  <r>
    <s v="Laundry and dry-cleaning workers"/>
    <s v="51-6011"/>
    <x v="15"/>
    <s v="Line item"/>
    <n v="-1.0543990000000001"/>
    <n v="202.6"/>
    <n v="213.5"/>
    <n v="0.1"/>
    <n v="0.1"/>
    <n v="10.9"/>
    <n v="5.4"/>
    <n v="2.2999999999999998"/>
    <n v="31.9"/>
    <n v="33800"/>
    <x v="5"/>
  </r>
  <r>
    <s v="Patternmakers, wood"/>
    <s v="51-7032"/>
    <x v="15"/>
    <s v="Line item"/>
    <n v="-1.0578970000000001"/>
    <n v="0.5"/>
    <n v="0.4"/>
    <n v="0"/>
    <n v="0"/>
    <n v="0"/>
    <n v="-5"/>
    <n v="58.1"/>
    <n v="0"/>
    <n v="52520"/>
    <x v="3"/>
  </r>
  <r>
    <s v="Forest and conservation workers"/>
    <s v="45-4011"/>
    <x v="18"/>
    <s v="Line item"/>
    <n v="-1.0642050000000001"/>
    <n v="10.8"/>
    <n v="10.3"/>
    <n v="0"/>
    <n v="0"/>
    <n v="-0.5"/>
    <n v="-4.7"/>
    <n v="15.1"/>
    <n v="2"/>
    <n v="43680"/>
    <x v="3"/>
  </r>
  <r>
    <s v="Postal service mail carriers"/>
    <s v="43-5052"/>
    <x v="4"/>
    <s v="Line item"/>
    <n v="-1.0647150000000001"/>
    <n v="319.39999999999998"/>
    <n v="308.10000000000002"/>
    <n v="0.2"/>
    <n v="0.2"/>
    <n v="-11.3"/>
    <n v="-3.5"/>
    <s v="—"/>
    <n v="20.6"/>
    <n v="57490"/>
    <x v="5"/>
  </r>
  <r>
    <s v="Lathe and turning machine tool setters, operators, and tenders, metal and plastic"/>
    <s v="51-4034"/>
    <x v="15"/>
    <s v="Line item"/>
    <n v="-1.06734"/>
    <n v="18.899999999999999"/>
    <n v="16.399999999999999"/>
    <n v="0"/>
    <n v="0"/>
    <n v="-2.6"/>
    <n v="-13.6"/>
    <s v="—"/>
    <n v="1.5"/>
    <n v="48620"/>
    <x v="3"/>
  </r>
  <r>
    <s v="Structural metal fabricators and fitters"/>
    <s v="51-2041"/>
    <x v="15"/>
    <s v="Line item"/>
    <n v="-1.0763069999999999"/>
    <n v="53.8"/>
    <n v="45"/>
    <n v="0"/>
    <n v="0"/>
    <n v="-8.8000000000000007"/>
    <n v="-16.3"/>
    <n v="0.8"/>
    <n v="4.0999999999999996"/>
    <n v="49900"/>
    <x v="3"/>
  </r>
  <r>
    <s v="Cutting and slicing machine setters, operators, and tenders"/>
    <s v="51-9032"/>
    <x v="15"/>
    <s v="Line item"/>
    <n v="-1.0792820000000001"/>
    <n v="49"/>
    <n v="47.9"/>
    <n v="0"/>
    <n v="0"/>
    <n v="-1.1000000000000001"/>
    <n v="-2.2999999999999998"/>
    <n v="3.3"/>
    <n v="5.3"/>
    <n v="45700"/>
    <x v="3"/>
  </r>
  <r>
    <s v="Electrical power-line installers and repairers"/>
    <s v="49-9051"/>
    <x v="19"/>
    <s v="Line item"/>
    <n v="-1.0813980000000001"/>
    <n v="127.4"/>
    <n v="135.80000000000001"/>
    <n v="0.1"/>
    <n v="0.1"/>
    <n v="8.4"/>
    <n v="6.6"/>
    <n v="1.4"/>
    <n v="10.7"/>
    <n v="92560"/>
    <x v="3"/>
  </r>
  <r>
    <s v="Telecommunications line installers and repairers"/>
    <s v="49-9052"/>
    <x v="19"/>
    <s v="Line item"/>
    <n v="-1.0838829999999999"/>
    <n v="99.9"/>
    <n v="96.8"/>
    <n v="0.1"/>
    <n v="0.1"/>
    <n v="-3.1"/>
    <n v="-3.1"/>
    <n v="1.3"/>
    <n v="8.9"/>
    <n v="70500"/>
    <x v="3"/>
  </r>
  <r>
    <s v="Rolling machine setters, operators, and tenders, metal and plastic"/>
    <s v="51-4023"/>
    <x v="15"/>
    <s v="Line item"/>
    <n v="-1.08921"/>
    <n v="22.5"/>
    <n v="20.6"/>
    <n v="0"/>
    <n v="0"/>
    <n v="-1.9"/>
    <n v="-8.3000000000000007"/>
    <s v="—"/>
    <n v="1.9"/>
    <n v="48630"/>
    <x v="3"/>
  </r>
  <r>
    <s v="Wellhead pumpers"/>
    <s v="53-7073"/>
    <x v="12"/>
    <s v="Line item"/>
    <n v="-1.091197"/>
    <n v="18.8"/>
    <n v="17.899999999999999"/>
    <n v="0"/>
    <n v="0"/>
    <n v="-0.9"/>
    <n v="-4.7"/>
    <n v="3.6"/>
    <n v="2"/>
    <n v="70010"/>
    <x v="3"/>
  </r>
  <r>
    <s v="Heat treating equipment setters, operators, and tenders, metal and plastic"/>
    <s v="51-4191"/>
    <x v="15"/>
    <s v="Line item"/>
    <n v="-1.0924860000000001"/>
    <n v="14.8"/>
    <n v="12.9"/>
    <n v="0"/>
    <n v="0"/>
    <n v="-1.9"/>
    <n v="-12.8"/>
    <n v="1"/>
    <n v="1.2"/>
    <n v="47450"/>
    <x v="3"/>
  </r>
  <r>
    <s v="Boilermakers"/>
    <s v="47-2011"/>
    <x v="17"/>
    <s v="Line item"/>
    <n v="-1.097532"/>
    <n v="10.4"/>
    <n v="10.1"/>
    <n v="0"/>
    <n v="0"/>
    <n v="-0.2"/>
    <n v="-2.4"/>
    <s v="—"/>
    <n v="0.8"/>
    <n v="73340"/>
    <x v="3"/>
  </r>
  <r>
    <s v="Commercial divers"/>
    <s v="49-9092"/>
    <x v="19"/>
    <s v="Line item"/>
    <n v="-1.1027279999999999"/>
    <n v="4.2"/>
    <n v="4.5"/>
    <n v="0"/>
    <n v="0"/>
    <n v="0.4"/>
    <n v="8.5"/>
    <n v="16.600000000000001"/>
    <n v="0.4"/>
    <n v="61130"/>
    <x v="6"/>
  </r>
  <r>
    <s v="Meat, poultry, and fish cutters and trimmers"/>
    <s v="51-3022"/>
    <x v="15"/>
    <s v="Line item"/>
    <n v="-1.1056299999999999"/>
    <n v="146.80000000000001"/>
    <n v="154.9"/>
    <n v="0.1"/>
    <n v="0.1"/>
    <n v="8.1"/>
    <n v="5.5"/>
    <n v="1.8"/>
    <n v="18.399999999999999"/>
    <n v="37700"/>
    <x v="5"/>
  </r>
  <r>
    <s v="Farmworkers, farm, ranch, and aquacultural animals"/>
    <s v="45-2093"/>
    <x v="18"/>
    <s v="Line item"/>
    <n v="-1.1084320000000001"/>
    <n v="224.6"/>
    <n v="213.4"/>
    <n v="0.1"/>
    <n v="0.1"/>
    <n v="-11.1"/>
    <n v="-5"/>
    <n v="2.2999999999999998"/>
    <n v="31.2"/>
    <n v="36150"/>
    <x v="5"/>
  </r>
  <r>
    <s v="Light truck drivers"/>
    <s v="53-3033"/>
    <x v="12"/>
    <s v="Line item"/>
    <n v="-1.120501"/>
    <n v="1079.8"/>
    <n v="1158.5999999999999"/>
    <n v="0.6"/>
    <n v="0.7"/>
    <n v="78.900000000000006"/>
    <n v="7.3"/>
    <n v="6.8"/>
    <n v="120.2"/>
    <n v="44140"/>
    <x v="3"/>
  </r>
  <r>
    <s v="Plumbers, pipefitters, and steamfitters"/>
    <s v="47-2152"/>
    <x v="17"/>
    <s v="Line item"/>
    <n v="-1.121219"/>
    <n v="504.5"/>
    <n v="527.20000000000005"/>
    <n v="0.3"/>
    <n v="0.3"/>
    <n v="22.7"/>
    <n v="4.5"/>
    <n v="7.8"/>
    <n v="44"/>
    <n v="62970"/>
    <x v="3"/>
  </r>
  <r>
    <s v="Models"/>
    <s v="41-9012"/>
    <x v="10"/>
    <s v="Line item"/>
    <n v="-1.1220209999999999"/>
    <n v="6.7"/>
    <n v="6.7"/>
    <n v="0"/>
    <n v="0"/>
    <n v="0"/>
    <n v="-0.5"/>
    <n v="16.3"/>
    <n v="1.2"/>
    <n v="89990"/>
    <x v="5"/>
  </r>
  <r>
    <s v="Woodworking machine setters, operators, and tenders, except sawing"/>
    <s v="51-7042"/>
    <x v="15"/>
    <s v="Line item"/>
    <n v="-1.1303570000000001"/>
    <n v="63.1"/>
    <n v="61.9"/>
    <n v="0"/>
    <n v="0"/>
    <n v="-1.1000000000000001"/>
    <n v="-1.8"/>
    <s v="—"/>
    <n v="6.4"/>
    <n v="40440"/>
    <x v="3"/>
  </r>
  <r>
    <s v="Industrial machinery mechanics"/>
    <s v="49-9041"/>
    <x v="19"/>
    <s v="Line item"/>
    <n v="-1.1331770000000001"/>
    <n v="439.6"/>
    <n v="510.3"/>
    <n v="0.3"/>
    <n v="0.3"/>
    <n v="70.7"/>
    <n v="16.100000000000001"/>
    <n v="1.7"/>
    <n v="45.7"/>
    <n v="63760"/>
    <x v="3"/>
  </r>
  <r>
    <s v="Cleaning, washing, and metal pickling equipment operators and tenders"/>
    <s v="51-9192"/>
    <x v="15"/>
    <s v="Line item"/>
    <n v="-1.141885"/>
    <n v="14.6"/>
    <n v="15.2"/>
    <n v="0"/>
    <n v="0"/>
    <n v="0.5"/>
    <n v="3.6"/>
    <n v="3.7"/>
    <n v="1.6"/>
    <n v="41460"/>
    <x v="3"/>
  </r>
  <r>
    <s v="Agricultural equipment operators"/>
    <s v="45-2091"/>
    <x v="18"/>
    <s v="Line item"/>
    <n v="-1.1451560000000001"/>
    <n v="65.2"/>
    <n v="70.3"/>
    <n v="0"/>
    <n v="0"/>
    <n v="5"/>
    <n v="7.7"/>
    <n v="7.1"/>
    <n v="10.5"/>
    <n v="42580"/>
    <x v="5"/>
  </r>
  <r>
    <s v="Molding, coremaking, and casting machine setters, operators, and tenders, metal and plastic"/>
    <s v="51-4072"/>
    <x v="15"/>
    <s v="Line item"/>
    <n v="-1.146139"/>
    <n v="154.6"/>
    <n v="148.80000000000001"/>
    <n v="0.1"/>
    <n v="0.1"/>
    <n v="-5.8"/>
    <n v="-3.8"/>
    <s v="—"/>
    <n v="15.9"/>
    <n v="41230"/>
    <x v="3"/>
  </r>
  <r>
    <s v="Grinding and polishing workers, hand"/>
    <s v="51-9022"/>
    <x v="15"/>
    <s v="Line item"/>
    <n v="-1.1465240000000001"/>
    <n v="11.8"/>
    <n v="9.3000000000000007"/>
    <n v="0"/>
    <n v="0"/>
    <n v="-2.5"/>
    <n v="-21.2"/>
    <s v="—"/>
    <n v="0.8"/>
    <n v="41690"/>
    <x v="5"/>
  </r>
  <r>
    <s v="Heavy and tractor-trailer truck drivers"/>
    <s v="53-3032"/>
    <x v="12"/>
    <s v="Line item"/>
    <n v="-1.149057"/>
    <n v="2235.1"/>
    <n v="2324.4"/>
    <n v="1.3"/>
    <n v="1.3"/>
    <n v="89.3"/>
    <n v="4"/>
    <n v="6.9"/>
    <n v="237.6"/>
    <n v="57440"/>
    <x v="6"/>
  </r>
  <r>
    <s v="Sailors and marine oilers"/>
    <s v="53-5011"/>
    <x v="12"/>
    <s v="Line item"/>
    <n v="-1.1500010000000001"/>
    <n v="32.1"/>
    <n v="32.799999999999997"/>
    <n v="0"/>
    <n v="0"/>
    <n v="0.7"/>
    <n v="2.2999999999999998"/>
    <s v="—"/>
    <n v="3.9"/>
    <n v="49610"/>
    <x v="5"/>
  </r>
  <r>
    <s v="Sawing machine setters, operators, and tenders, wood"/>
    <s v="51-7041"/>
    <x v="15"/>
    <s v="Line item"/>
    <n v="-1.1650309999999999"/>
    <n v="45"/>
    <n v="44.7"/>
    <n v="0"/>
    <n v="0"/>
    <n v="-0.3"/>
    <n v="-0.6"/>
    <n v="3.8"/>
    <n v="4.8"/>
    <n v="39950"/>
    <x v="3"/>
  </r>
  <r>
    <s v="Continuous mining machine operators"/>
    <s v="47-5041"/>
    <x v="17"/>
    <s v="Line item"/>
    <n v="-1.165492"/>
    <n v="14.9"/>
    <n v="15"/>
    <n v="0"/>
    <n v="0"/>
    <n v="0.1"/>
    <n v="0.6"/>
    <n v="2.8"/>
    <n v="1.6"/>
    <n v="63380"/>
    <x v="5"/>
  </r>
  <r>
    <s v="Metal-refining furnace operators and tenders"/>
    <s v="51-4051"/>
    <x v="15"/>
    <s v="Line item"/>
    <n v="-1.167465"/>
    <n v="20.8"/>
    <n v="20.3"/>
    <n v="0"/>
    <n v="0"/>
    <n v="-0.5"/>
    <n v="-2.2999999999999998"/>
    <n v="1.2"/>
    <n v="2"/>
    <n v="55770"/>
    <x v="3"/>
  </r>
  <r>
    <s v="Mobile heavy equipment mechanics, except engines"/>
    <s v="49-3042"/>
    <x v="19"/>
    <s v="Line item"/>
    <n v="-1.169815"/>
    <n v="188.7"/>
    <n v="199.6"/>
    <n v="0.1"/>
    <n v="0.1"/>
    <n v="10.9"/>
    <n v="5.8"/>
    <n v="3.2"/>
    <n v="16.5"/>
    <n v="63980"/>
    <x v="3"/>
  </r>
  <r>
    <s v="Sheet metal workers"/>
    <s v="47-2211"/>
    <x v="17"/>
    <s v="Line item"/>
    <n v="-1.1749719999999999"/>
    <n v="127"/>
    <n v="130.1"/>
    <n v="0.1"/>
    <n v="0.1"/>
    <n v="3.1"/>
    <n v="2.4"/>
    <n v="6.5"/>
    <n v="10.6"/>
    <n v="60850"/>
    <x v="3"/>
  </r>
  <r>
    <s v="Automotive body and related repairers"/>
    <s v="49-3021"/>
    <x v="19"/>
    <s v="Line item"/>
    <n v="-1.1805890000000001"/>
    <n v="172.6"/>
    <n v="175.4"/>
    <n v="0.1"/>
    <n v="0.1"/>
    <n v="2.8"/>
    <n v="1.6"/>
    <n v="9.9"/>
    <n v="14.6"/>
    <n v="51680"/>
    <x v="3"/>
  </r>
  <r>
    <s v="Molders, shapers, and casters, except metal and plastic"/>
    <s v="51-9195"/>
    <x v="15"/>
    <s v="Line item"/>
    <n v="-1.183408"/>
    <n v="41.7"/>
    <n v="44.3"/>
    <n v="0"/>
    <n v="0"/>
    <n v="2.6"/>
    <n v="6.2"/>
    <n v="14.2"/>
    <n v="5.5"/>
    <n v="45690"/>
    <x v="3"/>
  </r>
  <r>
    <s v="Paving, surfacing, and tamping equipment operators"/>
    <s v="47-2071"/>
    <x v="17"/>
    <s v="Line item"/>
    <n v="-1.184739"/>
    <n v="47"/>
    <n v="48.6"/>
    <n v="0"/>
    <n v="0"/>
    <n v="1.5"/>
    <n v="3.2"/>
    <n v="2.7"/>
    <n v="4"/>
    <n v="51650"/>
    <x v="3"/>
  </r>
  <r>
    <s v="Postal service mail sorters, processors, and processing machine operators"/>
    <s v="43-5053"/>
    <x v="4"/>
    <s v="Line item"/>
    <n v="-1.185001"/>
    <n v="106.4"/>
    <n v="97.5"/>
    <n v="0.1"/>
    <n v="0.1"/>
    <n v="-8.9"/>
    <n v="-8.4"/>
    <s v="—"/>
    <n v="7.8"/>
    <n v="56530"/>
    <x v="5"/>
  </r>
  <r>
    <s v="Welders, cutters, solderers, and brazers"/>
    <s v="51-4121"/>
    <x v="15"/>
    <s v="Line item"/>
    <n v="-1.1975960000000001"/>
    <n v="457.3"/>
    <n v="467.2"/>
    <n v="0.3"/>
    <n v="0.3"/>
    <n v="9.9"/>
    <n v="2.2000000000000002"/>
    <n v="6.3"/>
    <n v="45.6"/>
    <n v="51000"/>
    <x v="3"/>
  </r>
  <r>
    <s v="Furniture finishers"/>
    <s v="51-7021"/>
    <x v="15"/>
    <s v="Line item"/>
    <n v="-1.197727"/>
    <n v="20.5"/>
    <n v="19.8"/>
    <n v="0"/>
    <n v="0"/>
    <n v="-0.7"/>
    <n v="-3.3"/>
    <n v="32"/>
    <n v="2"/>
    <n v="42530"/>
    <x v="3"/>
  </r>
  <r>
    <s v="Automotive glass installers and repairers"/>
    <s v="49-3022"/>
    <x v="19"/>
    <s v="Line item"/>
    <n v="-1.202285"/>
    <n v="20.399999999999999"/>
    <n v="21.1"/>
    <n v="0"/>
    <n v="0"/>
    <n v="0.7"/>
    <n v="3.6"/>
    <n v="7.2"/>
    <n v="1.4"/>
    <n v="47260"/>
    <x v="3"/>
  </r>
  <r>
    <s v="Farm equipment mechanics and service technicians"/>
    <s v="49-3041"/>
    <x v="19"/>
    <s v="Line item"/>
    <n v="-1.20703"/>
    <n v="39"/>
    <n v="43.3"/>
    <n v="0"/>
    <n v="0"/>
    <n v="4.3"/>
    <n v="11"/>
    <n v="3.4"/>
    <n v="3.7"/>
    <n v="52080"/>
    <x v="3"/>
  </r>
  <r>
    <s v="Septic tank servicers and sewer pipe cleaners"/>
    <s v="47-4071"/>
    <x v="17"/>
    <s v="Line item"/>
    <n v="-1.210591"/>
    <n v="30.4"/>
    <n v="32.700000000000003"/>
    <n v="0"/>
    <n v="0"/>
    <n v="2.2999999999999998"/>
    <n v="7.6"/>
    <n v="2.8"/>
    <n v="2.9"/>
    <n v="49140"/>
    <x v="3"/>
  </r>
  <r>
    <s v="Pile driver operators"/>
    <s v="47-2072"/>
    <x v="17"/>
    <s v="Line item"/>
    <n v="-1.2200089999999999"/>
    <n v="3.2"/>
    <n v="3.3"/>
    <n v="0"/>
    <n v="0"/>
    <n v="0.1"/>
    <n v="4.3"/>
    <n v="3"/>
    <n v="0.3"/>
    <n v="70510"/>
    <x v="3"/>
  </r>
  <r>
    <s v="Automotive and watercraft service attendants"/>
    <s v="53-6031"/>
    <x v="12"/>
    <s v="Line item"/>
    <n v="-1.221489"/>
    <n v="100"/>
    <n v="99"/>
    <n v="0.1"/>
    <n v="0.1"/>
    <n v="-1"/>
    <n v="-1"/>
    <n v="0.8"/>
    <n v="14.4"/>
    <n v="34850"/>
    <x v="5"/>
  </r>
  <r>
    <s v="Riggers"/>
    <s v="49-9096"/>
    <x v="19"/>
    <s v="Line item"/>
    <n v="-1.221519"/>
    <n v="24.6"/>
    <n v="25.4"/>
    <n v="0"/>
    <n v="0"/>
    <n v="0.8"/>
    <n v="3.2"/>
    <s v="—"/>
    <n v="2.5"/>
    <n v="62060"/>
    <x v="3"/>
  </r>
  <r>
    <s v="Tile and stone setters"/>
    <s v="47-2044"/>
    <x v="17"/>
    <s v="Line item"/>
    <n v="-1.22543"/>
    <n v="52.6"/>
    <n v="58"/>
    <n v="0"/>
    <n v="0"/>
    <n v="5.3"/>
    <n v="10.1"/>
    <n v="25.7"/>
    <n v="4.2"/>
    <n v="52240"/>
    <x v="5"/>
  </r>
  <r>
    <s v="Pipelayers"/>
    <s v="47-2151"/>
    <x v="17"/>
    <s v="Line item"/>
    <n v="-1.225611"/>
    <n v="34.4"/>
    <n v="32.9"/>
    <n v="0"/>
    <n v="0"/>
    <n v="-1.4"/>
    <n v="-4.0999999999999996"/>
    <s v="—"/>
    <n v="2.4"/>
    <n v="48710"/>
    <x v="5"/>
  </r>
  <r>
    <s v="Food preparation workers"/>
    <s v="35-2021"/>
    <x v="20"/>
    <s v="Line item"/>
    <n v="-1.226416"/>
    <n v="902.7"/>
    <n v="871.8"/>
    <n v="0.5"/>
    <n v="0.5"/>
    <n v="-30.9"/>
    <n v="-3.4"/>
    <n v="0.5"/>
    <n v="148"/>
    <n v="34220"/>
    <x v="5"/>
  </r>
  <r>
    <s v="Extruding and drawing machine setters, operators, and tenders, metal and plastic"/>
    <s v="51-4021"/>
    <x v="15"/>
    <s v="Line item"/>
    <n v="-1.2343519999999999"/>
    <n v="66"/>
    <n v="66.8"/>
    <n v="0"/>
    <n v="0"/>
    <n v="0.8"/>
    <n v="1.2"/>
    <s v="—"/>
    <n v="6.5"/>
    <n v="46980"/>
    <x v="3"/>
  </r>
  <r>
    <s v="Refractory materials repairers, except brickmasons"/>
    <s v="49-9045"/>
    <x v="19"/>
    <s v="Line item"/>
    <n v="-1.237463"/>
    <n v="1.1000000000000001"/>
    <n v="0.9"/>
    <n v="0"/>
    <n v="0"/>
    <n v="-0.2"/>
    <n v="-16.899999999999999"/>
    <s v="—"/>
    <n v="0.1"/>
    <n v="58540"/>
    <x v="3"/>
  </r>
  <r>
    <s v="Textile knitting and weaving machine setters, operators, and tenders"/>
    <s v="51-6063"/>
    <x v="15"/>
    <s v="Line item"/>
    <n v="-1.241662"/>
    <n v="15.3"/>
    <n v="13.6"/>
    <n v="0"/>
    <n v="0"/>
    <n v="-1.7"/>
    <n v="-11.2"/>
    <n v="2.4"/>
    <n v="1.7"/>
    <n v="38260"/>
    <x v="3"/>
  </r>
  <r>
    <s v="Millwrights"/>
    <s v="49-9044"/>
    <x v="19"/>
    <s v="Line item"/>
    <n v="-1.2660849999999999"/>
    <n v="41.3"/>
    <n v="41.3"/>
    <n v="0"/>
    <n v="0"/>
    <n v="0"/>
    <n v="0"/>
    <s v="—"/>
    <n v="3.6"/>
    <n v="65170"/>
    <x v="3"/>
  </r>
  <r>
    <s v="Insulation workers, mechanical"/>
    <s v="47-2132"/>
    <x v="17"/>
    <s v="Line item"/>
    <n v="-1.268615"/>
    <n v="27.2"/>
    <n v="28.5"/>
    <n v="0"/>
    <n v="0"/>
    <n v="1.3"/>
    <n v="4.7"/>
    <n v="3.3"/>
    <n v="2.2999999999999998"/>
    <n v="57250"/>
    <x v="3"/>
  </r>
  <r>
    <s v="Baggage porters and bellhops"/>
    <s v="39-6011"/>
    <x v="14"/>
    <s v="Line item"/>
    <n v="-1.2720149999999999"/>
    <n v="32.5"/>
    <n v="32"/>
    <n v="0"/>
    <n v="0"/>
    <n v="-0.5"/>
    <n v="-1.6"/>
    <s v="—"/>
    <n v="4.5999999999999996"/>
    <n v="36020"/>
    <x v="3"/>
  </r>
  <r>
    <s v="Highway maintenance workers"/>
    <s v="47-4051"/>
    <x v="17"/>
    <s v="Line item"/>
    <n v="-1.2790900000000001"/>
    <n v="159.1"/>
    <n v="163.9"/>
    <n v="0.1"/>
    <n v="0.1"/>
    <n v="4.8"/>
    <n v="3"/>
    <s v="—"/>
    <n v="12.3"/>
    <n v="49070"/>
    <x v="3"/>
  </r>
  <r>
    <s v="Refuse and recyclable material collectors"/>
    <s v="53-7081"/>
    <x v="12"/>
    <s v="Line item"/>
    <n v="-1.2833730000000001"/>
    <n v="147.9"/>
    <n v="149.19999999999999"/>
    <n v="0.1"/>
    <n v="0.1"/>
    <n v="1.3"/>
    <n v="0.9"/>
    <n v="3.7"/>
    <n v="16.899999999999999"/>
    <n v="48350"/>
    <x v="5"/>
  </r>
  <r>
    <s v="Production workers, all other"/>
    <s v="51-9199"/>
    <x v="15"/>
    <s v="Line item"/>
    <n v="-1.290964"/>
    <n v="292.8"/>
    <n v="294.3"/>
    <n v="0.2"/>
    <n v="0.2"/>
    <n v="1.5"/>
    <n v="0.5"/>
    <n v="3.7"/>
    <n v="31.6"/>
    <n v="38820"/>
    <x v="3"/>
  </r>
  <r>
    <s v="Floor layers, except carpet, wood, and hard tiles"/>
    <s v="47-2042"/>
    <x v="17"/>
    <s v="Line item"/>
    <n v="-1.301024"/>
    <n v="33.700000000000003"/>
    <n v="36.9"/>
    <n v="0"/>
    <n v="0"/>
    <n v="3.2"/>
    <n v="9.5"/>
    <n v="25.7"/>
    <n v="2.7"/>
    <n v="54340"/>
    <x v="5"/>
  </r>
  <r>
    <s v="Adhesive bonding machine operators and tenders"/>
    <s v="51-9191"/>
    <x v="15"/>
    <s v="Line item"/>
    <n v="-1.311418"/>
    <n v="12.2"/>
    <n v="12.3"/>
    <n v="0"/>
    <n v="0"/>
    <n v="0.1"/>
    <n v="1"/>
    <s v="—"/>
    <n v="1.3"/>
    <n v="45210"/>
    <x v="3"/>
  </r>
  <r>
    <s v="Upholsterers"/>
    <s v="51-6093"/>
    <x v="15"/>
    <s v="Line item"/>
    <n v="-1.3137350000000001"/>
    <n v="22.7"/>
    <n v="22.3"/>
    <n v="0"/>
    <n v="0"/>
    <n v="-0.4"/>
    <n v="-1.8"/>
    <n v="9.1999999999999993"/>
    <n v="2.2000000000000002"/>
    <n v="46190"/>
    <x v="3"/>
  </r>
  <r>
    <s v="Firefighters"/>
    <s v="33-2011"/>
    <x v="16"/>
    <s v="Line item"/>
    <n v="-1.3202320000000001"/>
    <n v="344.9"/>
    <n v="356.7"/>
    <n v="0.2"/>
    <n v="0.2"/>
    <n v="11.8"/>
    <n v="3.4"/>
    <n v="0"/>
    <n v="27.1"/>
    <n v="59530"/>
    <x v="6"/>
  </r>
  <r>
    <s v="Carpenters"/>
    <s v="47-2031"/>
    <x v="17"/>
    <s v="Line item"/>
    <n v="-1.323631"/>
    <n v="959"/>
    <n v="1002.1"/>
    <n v="0.6"/>
    <n v="0.6"/>
    <n v="43.1"/>
    <n v="4.5"/>
    <n v="26.8"/>
    <n v="74.099999999999994"/>
    <n v="59310"/>
    <x v="3"/>
  </r>
  <r>
    <s v="Cabinetmakers and bench carpenters"/>
    <s v="51-7011"/>
    <x v="15"/>
    <s v="Line item"/>
    <n v="-1.3274889999999999"/>
    <n v="86"/>
    <n v="84.7"/>
    <n v="0.1"/>
    <n v="0"/>
    <n v="-1.4"/>
    <n v="-1.6"/>
    <n v="9"/>
    <n v="8.1"/>
    <n v="46020"/>
    <x v="3"/>
  </r>
  <r>
    <s v="Helpers--installation, maintenance, and repair workers"/>
    <s v="49-9098"/>
    <x v="19"/>
    <s v="Line item"/>
    <n v="-1.3465549999999999"/>
    <n v="98.7"/>
    <n v="101"/>
    <n v="0.1"/>
    <n v="0.1"/>
    <n v="2.2000000000000002"/>
    <n v="2.2999999999999998"/>
    <s v="—"/>
    <n v="11.8"/>
    <n v="38860"/>
    <x v="3"/>
  </r>
  <r>
    <s v="Graders and sorters, agricultural products"/>
    <s v="45-2041"/>
    <x v="18"/>
    <s v="Line item"/>
    <n v="-1.370968"/>
    <n v="38.9"/>
    <n v="36.799999999999997"/>
    <n v="0"/>
    <n v="0"/>
    <n v="-2.1"/>
    <n v="-5.4"/>
    <s v="—"/>
    <n v="5.0999999999999996"/>
    <n v="35430"/>
    <x v="5"/>
  </r>
  <r>
    <s v="Mechanical door repairers"/>
    <s v="49-9011"/>
    <x v="19"/>
    <s v="Line item"/>
    <n v="-1.3831519999999999"/>
    <n v="28.4"/>
    <n v="31.7"/>
    <n v="0"/>
    <n v="0"/>
    <n v="3.2"/>
    <n v="11.4"/>
    <s v="—"/>
    <n v="2.7"/>
    <n v="51050"/>
    <x v="3"/>
  </r>
  <r>
    <s v="Tank car, truck, and ship loaders"/>
    <s v="53-7121"/>
    <x v="12"/>
    <s v="Line item"/>
    <n v="-1.3877600000000001"/>
    <n v="12"/>
    <n v="12.5"/>
    <n v="0"/>
    <n v="0"/>
    <n v="0.5"/>
    <n v="4.3"/>
    <n v="6.6"/>
    <n v="1.3"/>
    <n v="58070"/>
    <x v="5"/>
  </r>
  <r>
    <s v="Glaziers"/>
    <s v="47-2121"/>
    <x v="17"/>
    <s v="Line item"/>
    <n v="-1.3889009999999999"/>
    <n v="60.5"/>
    <n v="62.5"/>
    <n v="0"/>
    <n v="0"/>
    <n v="2"/>
    <n v="3.3"/>
    <n v="7.1"/>
    <n v="5.0999999999999996"/>
    <n v="55440"/>
    <x v="3"/>
  </r>
  <r>
    <s v="Textile winding, twisting, and drawing out machine setters, operators, and tenders"/>
    <s v="51-6064"/>
    <x v="15"/>
    <s v="Line item"/>
    <n v="-1.3929290000000001"/>
    <n v="21.7"/>
    <n v="19.8"/>
    <n v="0"/>
    <n v="0"/>
    <n v="-1.9"/>
    <n v="-9"/>
    <n v="2.4"/>
    <n v="2.5"/>
    <n v="37660"/>
    <x v="3"/>
  </r>
  <r>
    <s v="Industrial truck and tractor operators"/>
    <s v="53-7051"/>
    <x v="12"/>
    <s v="Line item"/>
    <n v="-1.39869"/>
    <n v="792.5"/>
    <n v="801.6"/>
    <n v="0.5"/>
    <n v="0.5"/>
    <n v="9.1"/>
    <n v="1.1000000000000001"/>
    <n v="0.4"/>
    <n v="76.400000000000006"/>
    <n v="46390"/>
    <x v="5"/>
  </r>
  <r>
    <s v="Rail-track laying and maintenance equipment operators"/>
    <s v="47-4061"/>
    <x v="17"/>
    <s v="Line item"/>
    <n v="-1.39906"/>
    <n v="15"/>
    <n v="15.3"/>
    <n v="0"/>
    <n v="0"/>
    <n v="0.2"/>
    <n v="1.6"/>
    <s v="—"/>
    <n v="1.1000000000000001"/>
    <n v="67370"/>
    <x v="3"/>
  </r>
  <r>
    <s v="Massage therapists"/>
    <s v="31-9011"/>
    <x v="13"/>
    <s v="Line item"/>
    <n v="-1.4102330000000001"/>
    <n v="168"/>
    <n v="193.9"/>
    <n v="0.1"/>
    <n v="0.1"/>
    <n v="25.9"/>
    <n v="15.4"/>
    <n v="41.9"/>
    <n v="24.7"/>
    <n v="57950"/>
    <x v="6"/>
  </r>
  <r>
    <s v="Helpers--production workers"/>
    <s v="51-9198"/>
    <x v="15"/>
    <s v="Line item"/>
    <n v="-1.4113039999999999"/>
    <n v="168.5"/>
    <n v="153.5"/>
    <n v="0.1"/>
    <n v="0.1"/>
    <n v="-15"/>
    <n v="-8.9"/>
    <n v="0.1"/>
    <n v="23.6"/>
    <n v="38220"/>
    <x v="3"/>
  </r>
  <r>
    <s v="Manufactured building and mobile home installers"/>
    <s v="49-9095"/>
    <x v="19"/>
    <s v="Line item"/>
    <n v="-1.4140619999999999"/>
    <n v="3.1"/>
    <n v="3.3"/>
    <n v="0"/>
    <n v="0"/>
    <n v="0.2"/>
    <n v="5.9"/>
    <n v="17"/>
    <n v="0.3"/>
    <n v="41080"/>
    <x v="3"/>
  </r>
  <r>
    <s v="Derrick operators, oil and gas"/>
    <s v="47-5011"/>
    <x v="17"/>
    <s v="Line item"/>
    <n v="-1.4150020000000001"/>
    <n v="11.3"/>
    <n v="11.3"/>
    <n v="0"/>
    <n v="0"/>
    <n v="0.1"/>
    <n v="0.5"/>
    <n v="1.4"/>
    <n v="1"/>
    <n v="62740"/>
    <x v="5"/>
  </r>
  <r>
    <s v="Helpers--carpenters"/>
    <s v="47-3012"/>
    <x v="17"/>
    <s v="Line item"/>
    <n v="-1.4252819999999999"/>
    <n v="25.2"/>
    <n v="26.4"/>
    <n v="0"/>
    <n v="0"/>
    <n v="1.1000000000000001"/>
    <n v="4.5"/>
    <n v="1.8"/>
    <n v="2.7"/>
    <n v="41600"/>
    <x v="5"/>
  </r>
  <r>
    <s v="Janitors and cleaners, except maids and housekeeping cleaners"/>
    <s v="37-2011"/>
    <x v="21"/>
    <s v="Line item"/>
    <n v="-1.4362010000000001"/>
    <n v="2447.6999999999998"/>
    <n v="2495.5"/>
    <n v="1.4"/>
    <n v="1.4"/>
    <n v="47.8"/>
    <n v="2"/>
    <n v="5.5"/>
    <n v="351.3"/>
    <n v="35930"/>
    <x v="5"/>
  </r>
  <r>
    <s v="Rail car repairers"/>
    <s v="49-3043"/>
    <x v="19"/>
    <s v="Line item"/>
    <n v="-1.448102"/>
    <n v="17.899999999999999"/>
    <n v="18.399999999999999"/>
    <n v="0"/>
    <n v="0"/>
    <n v="0.5"/>
    <n v="2.8"/>
    <n v="3.3"/>
    <n v="1.5"/>
    <n v="65680"/>
    <x v="3"/>
  </r>
  <r>
    <s v="Maids and housekeeping cleaners"/>
    <s v="37-2012"/>
    <x v="21"/>
    <s v="Line item"/>
    <n v="-1.4806569999999999"/>
    <n v="1356.8"/>
    <n v="1362.8"/>
    <n v="0.8"/>
    <n v="0.8"/>
    <n v="6"/>
    <n v="0.4"/>
    <n v="12.8"/>
    <n v="193.5"/>
    <n v="34660"/>
    <x v="5"/>
  </r>
  <r>
    <s v="Helpers--electricians"/>
    <s v="47-3013"/>
    <x v="17"/>
    <s v="Line item"/>
    <n v="-1.506896"/>
    <n v="66.599999999999994"/>
    <n v="66.7"/>
    <n v="0"/>
    <n v="0"/>
    <n v="0.1"/>
    <n v="0.2"/>
    <n v="1.8"/>
    <n v="6.8"/>
    <n v="39890"/>
    <x v="3"/>
  </r>
  <r>
    <s v="Packers and packagers, hand"/>
    <s v="53-7064"/>
    <x v="12"/>
    <s v="Line item"/>
    <n v="-1.51362"/>
    <n v="591.79999999999995"/>
    <n v="559.70000000000005"/>
    <n v="0.3"/>
    <n v="0.3"/>
    <n v="-32.200000000000003"/>
    <n v="-5.4"/>
    <n v="0.7"/>
    <n v="74"/>
    <n v="35580"/>
    <x v="5"/>
  </r>
  <r>
    <s v="Roustabouts, oil and gas"/>
    <s v="47-5071"/>
    <x v="17"/>
    <s v="Line item"/>
    <n v="-1.518977"/>
    <n v="46"/>
    <n v="47.1"/>
    <n v="0"/>
    <n v="0"/>
    <n v="1.1000000000000001"/>
    <n v="2.5"/>
    <n v="1.4"/>
    <n v="4.3"/>
    <n v="47510"/>
    <x v="5"/>
  </r>
  <r>
    <s v="Tapers"/>
    <s v="47-2082"/>
    <x v="17"/>
    <s v="Line item"/>
    <n v="-1.5407740000000001"/>
    <n v="15.6"/>
    <n v="15.6"/>
    <n v="0"/>
    <n v="0"/>
    <n v="0"/>
    <n v="0.1"/>
    <n v="19.5"/>
    <n v="1.1000000000000001"/>
    <n v="64700"/>
    <x v="5"/>
  </r>
  <r>
    <s v="Helpers--extraction workers"/>
    <s v="47-5081"/>
    <x v="17"/>
    <s v="Line item"/>
    <n v="-1.5431539999999999"/>
    <n v="7"/>
    <n v="6.9"/>
    <n v="0"/>
    <n v="0"/>
    <n v="-0.1"/>
    <n v="-1.7"/>
    <n v="3.3"/>
    <n v="0.7"/>
    <n v="48400"/>
    <x v="3"/>
  </r>
  <r>
    <s v="Tire repairers and changers"/>
    <s v="49-3093"/>
    <x v="19"/>
    <s v="Line item"/>
    <n v="-1.550724"/>
    <n v="113.4"/>
    <n v="119.9"/>
    <n v="0.1"/>
    <n v="0.1"/>
    <n v="6.5"/>
    <n v="5.7"/>
    <n v="5"/>
    <n v="15.3"/>
    <n v="37120"/>
    <x v="3"/>
  </r>
  <r>
    <s v="Carpet installers"/>
    <s v="47-2041"/>
    <x v="17"/>
    <s v="Line item"/>
    <n v="-1.5645770000000001"/>
    <n v="20.3"/>
    <n v="18.3"/>
    <n v="0"/>
    <n v="0"/>
    <n v="-1.9"/>
    <n v="-9.6"/>
    <n v="25.6"/>
    <n v="1.1000000000000001"/>
    <n v="49850"/>
    <x v="5"/>
  </r>
  <r>
    <s v="Choreographers"/>
    <s v="27-2032"/>
    <x v="11"/>
    <s v="Line item"/>
    <n v="-1.575769"/>
    <n v="4.5999999999999996"/>
    <n v="4.9000000000000004"/>
    <n v="0"/>
    <n v="0"/>
    <n v="0.3"/>
    <n v="6.1"/>
    <n v="24.3"/>
    <n v="0.7"/>
    <n v="55600"/>
    <x v="3"/>
  </r>
  <r>
    <s v="Painters, construction and maintenance"/>
    <s v="47-2141"/>
    <x v="17"/>
    <s v="Line item"/>
    <n v="-1.58799"/>
    <n v="342.2"/>
    <n v="355.2"/>
    <n v="0.2"/>
    <n v="0.2"/>
    <n v="13"/>
    <n v="3.8"/>
    <n v="33.799999999999997"/>
    <n v="28.1"/>
    <n v="48660"/>
    <x v="5"/>
  </r>
  <r>
    <s v="Farmworkers and laborers, crop, nursery, and greenhouse"/>
    <s v="45-2092"/>
    <x v="18"/>
    <s v="Line item"/>
    <n v="-1.6013489999999999"/>
    <n v="504.8"/>
    <n v="488.1"/>
    <n v="0.3"/>
    <n v="0.3"/>
    <n v="-16.8"/>
    <n v="-3.3"/>
    <n v="7.9"/>
    <n v="71.7"/>
    <n v="35690"/>
    <x v="5"/>
  </r>
  <r>
    <s v="Tire builders"/>
    <s v="51-9197"/>
    <x v="15"/>
    <s v="Line item"/>
    <n v="-1.6109150000000001"/>
    <n v="20.9"/>
    <n v="21.4"/>
    <n v="0"/>
    <n v="0"/>
    <n v="0.5"/>
    <n v="2.2999999999999998"/>
    <s v="—"/>
    <n v="2.5"/>
    <n v="55580"/>
    <x v="3"/>
  </r>
  <r>
    <s v="Insulation workers, floor, ceiling, and wall"/>
    <s v="47-2131"/>
    <x v="17"/>
    <s v="Line item"/>
    <n v="-1.6187720000000001"/>
    <n v="40.200000000000003"/>
    <n v="41.7"/>
    <n v="0"/>
    <n v="0"/>
    <n v="1.5"/>
    <n v="3.8"/>
    <n v="3.5"/>
    <n v="3.4"/>
    <n v="48680"/>
    <x v="5"/>
  </r>
  <r>
    <s v="Construction laborers"/>
    <s v="47-2061"/>
    <x v="17"/>
    <s v="Line item"/>
    <n v="-1.6229880000000001"/>
    <n v="1457"/>
    <n v="1563.4"/>
    <n v="0.9"/>
    <n v="0.9"/>
    <n v="106.5"/>
    <n v="7.3"/>
    <n v="26.9"/>
    <n v="129.4"/>
    <n v="46730"/>
    <x v="5"/>
  </r>
  <r>
    <s v="Cleaners of vehicles and equipment"/>
    <s v="53-7061"/>
    <x v="12"/>
    <s v="Line item"/>
    <n v="-1.6298969999999999"/>
    <n v="410.1"/>
    <n v="426.2"/>
    <n v="0.2"/>
    <n v="0.2"/>
    <n v="16"/>
    <n v="3.9"/>
    <n v="7.4"/>
    <n v="56.2"/>
    <n v="35270"/>
    <x v="5"/>
  </r>
  <r>
    <s v="Drywall and ceiling tile installers"/>
    <s v="47-2081"/>
    <x v="17"/>
    <s v="Line item"/>
    <n v="-1.6479710000000001"/>
    <n v="103.1"/>
    <n v="107.4"/>
    <n v="0.1"/>
    <n v="0.1"/>
    <n v="4.3"/>
    <n v="4.2"/>
    <n v="19.5"/>
    <n v="7.7"/>
    <n v="58140"/>
    <x v="5"/>
  </r>
  <r>
    <s v="Helpers--pipelayers, plumbers, pipefitters, and steamfitters"/>
    <s v="47-3015"/>
    <x v="17"/>
    <s v="Line item"/>
    <n v="-1.678876"/>
    <n v="45.3"/>
    <n v="47.5"/>
    <n v="0"/>
    <n v="0"/>
    <n v="2.2000000000000002"/>
    <n v="4.9000000000000004"/>
    <n v="1.8"/>
    <n v="4.9000000000000004"/>
    <n v="39270"/>
    <x v="3"/>
  </r>
  <r>
    <s v="Laborers and freight, stock, and material movers, hand"/>
    <s v="53-7062"/>
    <x v="12"/>
    <s v="Line item"/>
    <n v="-1.7091829999999999"/>
    <n v="2988.9"/>
    <n v="3033.1"/>
    <n v="1.8"/>
    <n v="1.7"/>
    <n v="44.3"/>
    <n v="1.5"/>
    <n v="1.3"/>
    <n v="384.3"/>
    <n v="38940"/>
    <x v="5"/>
  </r>
  <r>
    <s v="Stonemasons"/>
    <s v="47-2022"/>
    <x v="17"/>
    <s v="Line item"/>
    <n v="-1.7147589999999999"/>
    <n v="12.1"/>
    <n v="11.8"/>
    <n v="0"/>
    <n v="0"/>
    <n v="-0.4"/>
    <n v="-3"/>
    <n v="27.3"/>
    <n v="0.8"/>
    <n v="51990"/>
    <x v="3"/>
  </r>
  <r>
    <s v="Tree trimmers and pruners"/>
    <s v="37-3013"/>
    <x v="21"/>
    <s v="Line item"/>
    <n v="-1.7270350000000001"/>
    <n v="60.1"/>
    <n v="62.1"/>
    <n v="0"/>
    <n v="0"/>
    <n v="2"/>
    <n v="3.3"/>
    <n v="16.5"/>
    <n v="7.4"/>
    <n v="50430"/>
    <x v="3"/>
  </r>
  <r>
    <s v="Paperhangers"/>
    <s v="47-2142"/>
    <x v="17"/>
    <s v="Line item"/>
    <n v="-1.72753"/>
    <n v="2.2999999999999998"/>
    <n v="2.5"/>
    <n v="0"/>
    <n v="0"/>
    <n v="0.1"/>
    <n v="5.3"/>
    <n v="34.799999999999997"/>
    <n v="0.2"/>
    <n v="48260"/>
    <x v="5"/>
  </r>
  <r>
    <s v="Dishwashers"/>
    <s v="35-9021"/>
    <x v="20"/>
    <s v="Line item"/>
    <n v="-1.738612"/>
    <n v="477.7"/>
    <n v="478.6"/>
    <n v="0.3"/>
    <n v="0.3"/>
    <n v="0.9"/>
    <n v="0.2"/>
    <n v="0.6"/>
    <n v="76.8"/>
    <n v="33670"/>
    <x v="5"/>
  </r>
  <r>
    <s v="Foundry mold and coremakers"/>
    <s v="51-4071"/>
    <x v="15"/>
    <s v="Line item"/>
    <n v="-1.7403489999999999"/>
    <n v="12.7"/>
    <n v="9.4"/>
    <n v="0"/>
    <n v="0"/>
    <n v="-3.3"/>
    <n v="-25.9"/>
    <s v="—"/>
    <n v="0.9"/>
    <n v="45700"/>
    <x v="3"/>
  </r>
  <r>
    <s v="Floor sanders and finishers"/>
    <s v="47-2043"/>
    <x v="17"/>
    <s v="Line item"/>
    <n v="-1.7487220000000001"/>
    <n v="5.6"/>
    <n v="5.8"/>
    <n v="0"/>
    <n v="0"/>
    <n v="0.1"/>
    <n v="2.6"/>
    <n v="25.7"/>
    <n v="0.4"/>
    <n v="49150"/>
    <x v="5"/>
  </r>
  <r>
    <s v="Roofers"/>
    <s v="47-2181"/>
    <x v="17"/>
    <s v="Line item"/>
    <n v="-1.7529410000000001"/>
    <n v="166.7"/>
    <n v="176.5"/>
    <n v="0.1"/>
    <n v="0.1"/>
    <n v="9.8000000000000007"/>
    <n v="5.9"/>
    <n v="18.3"/>
    <n v="12.7"/>
    <n v="50970"/>
    <x v="5"/>
  </r>
  <r>
    <s v="Brickmasons and blockmasons"/>
    <s v="47-2021"/>
    <x v="17"/>
    <s v="Line item"/>
    <n v="-1.75434"/>
    <n v="74.099999999999994"/>
    <n v="76.400000000000006"/>
    <n v="0"/>
    <n v="0"/>
    <n v="2.4"/>
    <n v="3.2"/>
    <n v="27.1"/>
    <n v="5.6"/>
    <n v="60800"/>
    <x v="3"/>
  </r>
  <r>
    <s v="Plasterers and stucco masons"/>
    <s v="47-2161"/>
    <x v="17"/>
    <s v="Line item"/>
    <n v="-1.7555879999999999"/>
    <n v="24.2"/>
    <n v="25.2"/>
    <n v="0"/>
    <n v="0"/>
    <n v="1"/>
    <n v="4.0999999999999996"/>
    <n v="13.4"/>
    <n v="1.9"/>
    <n v="56020"/>
    <x v="5"/>
  </r>
  <r>
    <s v="Rock splitters, quarry"/>
    <s v="47-5051"/>
    <x v="17"/>
    <s v="Line item"/>
    <n v="-1.7634939999999999"/>
    <n v="3.2"/>
    <n v="3.4"/>
    <n v="0"/>
    <n v="0"/>
    <n v="0.1"/>
    <n v="4.4000000000000004"/>
    <n v="3.3"/>
    <n v="0.4"/>
    <n v="47460"/>
    <x v="5"/>
  </r>
  <r>
    <s v="Terrazzo workers and finishers"/>
    <s v="47-2053"/>
    <x v="17"/>
    <s v="Line item"/>
    <n v="-1.776065"/>
    <n v="1.5"/>
    <n v="1.3"/>
    <n v="0"/>
    <n v="0"/>
    <n v="-0.2"/>
    <n v="-11.1"/>
    <s v="—"/>
    <n v="0.1"/>
    <n v="57260"/>
    <x v="3"/>
  </r>
  <r>
    <s v="Cement masons and concrete finishers"/>
    <s v="47-2051"/>
    <x v="17"/>
    <s v="Line item"/>
    <n v="-1.777407"/>
    <n v="206.7"/>
    <n v="210.4"/>
    <n v="0.1"/>
    <n v="0.1"/>
    <n v="3.8"/>
    <n v="1.8"/>
    <n v="1"/>
    <n v="14.3"/>
    <n v="54660"/>
    <x v="5"/>
  </r>
  <r>
    <s v="Structural iron and steel workers"/>
    <s v="47-2221"/>
    <x v="17"/>
    <s v="Line item"/>
    <n v="-1.780065"/>
    <n v="65.7"/>
    <n v="68.599999999999994"/>
    <n v="0"/>
    <n v="0"/>
    <n v="2.9"/>
    <n v="4.4000000000000004"/>
    <n v="1.9"/>
    <n v="5.5"/>
    <n v="62700"/>
    <x v="3"/>
  </r>
  <r>
    <s v="Fallers"/>
    <s v="45-4021"/>
    <x v="18"/>
    <s v="Line item"/>
    <n v="-1.795407"/>
    <n v="5.6"/>
    <n v="5.2"/>
    <n v="0"/>
    <n v="0"/>
    <n v="-0.4"/>
    <n v="-7.3"/>
    <n v="29.6"/>
    <n v="0.7"/>
    <n v="53900"/>
    <x v="3"/>
  </r>
  <r>
    <s v="Athletes and sports competitors"/>
    <s v="27-2021"/>
    <x v="11"/>
    <s v="Line item"/>
    <n v="-1.8143359999999999"/>
    <n v="19.100000000000001"/>
    <n v="20.2"/>
    <n v="0"/>
    <n v="0"/>
    <n v="1"/>
    <n v="5.5"/>
    <n v="20.7"/>
    <n v="2.1"/>
    <n v="62360"/>
    <x v="5"/>
  </r>
  <r>
    <s v="Landscaping and groundskeeping workers"/>
    <s v="37-3011"/>
    <x v="21"/>
    <s v="Line item"/>
    <n v="-1.8242929999999999"/>
    <n v="1192.5"/>
    <n v="1235"/>
    <n v="0.7"/>
    <n v="0.7"/>
    <n v="42.4"/>
    <n v="3.6"/>
    <n v="19.7"/>
    <n v="158.19999999999999"/>
    <n v="38090"/>
    <x v="5"/>
  </r>
  <r>
    <s v="Slaughterers and meat packers"/>
    <s v="51-3023"/>
    <x v="15"/>
    <s v="Line item"/>
    <n v="-1.834668"/>
    <n v="69.599999999999994"/>
    <n v="71.2"/>
    <n v="0"/>
    <n v="0"/>
    <n v="1.5"/>
    <n v="2.2000000000000002"/>
    <n v="1.8"/>
    <n v="8.4"/>
    <n v="39790"/>
    <x v="5"/>
  </r>
  <r>
    <s v="Helpers--roofers"/>
    <s v="47-3016"/>
    <x v="17"/>
    <s v="Line item"/>
    <n v="-1.89822"/>
    <n v="5.2"/>
    <n v="5.5"/>
    <n v="0"/>
    <n v="0"/>
    <n v="0.3"/>
    <n v="5.7"/>
    <n v="1.9"/>
    <n v="0.6"/>
    <n v="40590"/>
    <x v="5"/>
  </r>
  <r>
    <s v="Fence erectors"/>
    <s v="47-4031"/>
    <x v="17"/>
    <s v="Line item"/>
    <n v="-1.9021129999999999"/>
    <n v="26.4"/>
    <n v="27.6"/>
    <n v="0"/>
    <n v="0"/>
    <n v="1.2"/>
    <n v="4.5999999999999996"/>
    <n v="11.4"/>
    <n v="2.2999999999999998"/>
    <n v="46940"/>
    <x v="5"/>
  </r>
  <r>
    <s v="Dining room and cafeteria attendants and bartender helpers"/>
    <s v="35-9011"/>
    <x v="20"/>
    <s v="Line item"/>
    <n v="-1.9270780000000001"/>
    <n v="527.4"/>
    <n v="560.6"/>
    <n v="0.3"/>
    <n v="0.3"/>
    <n v="33.1"/>
    <n v="6.3"/>
    <n v="0.2"/>
    <n v="99.6"/>
    <n v="32670"/>
    <x v="5"/>
  </r>
  <r>
    <s v="Helpers--brickmasons, blockmasons, stonemasons, and tile and marble setters"/>
    <s v="47-3011"/>
    <x v="17"/>
    <s v="Line item"/>
    <n v="-1.9422900000000001"/>
    <n v="16.100000000000001"/>
    <n v="14.4"/>
    <n v="0"/>
    <n v="0"/>
    <n v="-1.7"/>
    <n v="-10.5"/>
    <n v="1.8"/>
    <n v="1.4"/>
    <n v="46480"/>
    <x v="5"/>
  </r>
  <r>
    <s v="Pressers, textile, garment, and related materials"/>
    <s v="51-6021"/>
    <x v="15"/>
    <s v="Line item"/>
    <n v="-1.9500630000000001"/>
    <n v="28.4"/>
    <n v="24.6"/>
    <n v="0"/>
    <n v="0"/>
    <n v="-3.8"/>
    <n v="-13.5"/>
    <s v="—"/>
    <n v="2.8"/>
    <n v="33880"/>
    <x v="5"/>
  </r>
  <r>
    <s v="Reinforcing iron and rebar workers"/>
    <s v="47-2171"/>
    <x v="17"/>
    <s v="Line item"/>
    <n v="-1.9709970000000001"/>
    <n v="19.399999999999999"/>
    <n v="20.3"/>
    <n v="0"/>
    <n v="0"/>
    <n v="0.9"/>
    <n v="4.5999999999999996"/>
    <n v="27.7"/>
    <n v="1.5"/>
    <n v="59280"/>
    <x v="3"/>
  </r>
  <r>
    <s v="Helpers--painters, paperhangers, plasterers, and stucco masons"/>
    <s v="47-3014"/>
    <x v="17"/>
    <s v="Line item"/>
    <n v="-2.0448400000000002"/>
    <n v="7.4"/>
    <n v="7.6"/>
    <n v="0"/>
    <n v="0"/>
    <n v="0.2"/>
    <n v="2.2999999999999998"/>
    <n v="1.8"/>
    <n v="0.8"/>
    <n v="38140"/>
    <x v="5"/>
  </r>
  <r>
    <s v="Exercise trainers and group fitness instructors"/>
    <s v="39-9031"/>
    <x v="14"/>
    <s v="Line item"/>
    <n v="-2.1119479999999999"/>
    <n v="370.1"/>
    <n v="414.2"/>
    <n v="0.2"/>
    <n v="0.2"/>
    <n v="44.1"/>
    <n v="11.9"/>
    <n v="14.3"/>
    <n v="74.2"/>
    <n v="46180"/>
    <x v="3"/>
  </r>
  <r>
    <s v="Dancers"/>
    <s v="27-2031"/>
    <x v="11"/>
    <s v="Line item"/>
    <n v="-2.6697579999999999"/>
    <n v="12.3"/>
    <n v="12.9"/>
    <n v="0"/>
    <n v="0"/>
    <n v="0.6"/>
    <n v="4.5"/>
    <n v="25.4"/>
    <n v="1.8"/>
    <s v="—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3023E-F232-4556-9B89-E3EF67FB4942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2" firstHeaderRow="0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9">
        <item x="4"/>
        <item x="1"/>
        <item x="2"/>
        <item x="3"/>
        <item x="0"/>
        <item x="5"/>
        <item x="6"/>
        <item x="7"/>
        <item t="default"/>
      </items>
    </pivotField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IOE " fld="4" subtotal="average" baseField="0" baseItem="0"/>
    <dataField name="Average of Employment change, percent, 2024–34" fld="10" subtotal="average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FB380-061C-4CE3-AEC9-2DB77A8AAE18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1:D24" firstHeaderRow="0" firstDataRow="1" firstDataCol="1"/>
  <pivotFields count="15">
    <pivotField compact="0" outline="0" showAll="0"/>
    <pivotField compact="0" outline="0" showAll="0"/>
    <pivotField axis="axisRow" compact="0" outline="0" showAll="0" sortType="descending">
      <items count="23">
        <item x="5"/>
        <item x="1"/>
        <item x="2"/>
        <item x="9"/>
        <item x="7"/>
        <item x="8"/>
        <item x="3"/>
        <item x="6"/>
        <item x="11"/>
        <item x="0"/>
        <item x="13"/>
        <item x="16"/>
        <item x="20"/>
        <item x="21"/>
        <item x="14"/>
        <item x="10"/>
        <item x="4"/>
        <item x="18"/>
        <item x="17"/>
        <item x="19"/>
        <item x="1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</pivotFields>
  <rowFields count="1">
    <field x="2"/>
  </rowFields>
  <rowItems count="23">
    <i>
      <x v="6"/>
    </i>
    <i>
      <x v="1"/>
    </i>
    <i>
      <x v="7"/>
    </i>
    <i>
      <x/>
    </i>
    <i>
      <x v="3"/>
    </i>
    <i>
      <x v="4"/>
    </i>
    <i>
      <x v="16"/>
    </i>
    <i>
      <x v="5"/>
    </i>
    <i>
      <x v="15"/>
    </i>
    <i>
      <x v="2"/>
    </i>
    <i>
      <x v="8"/>
    </i>
    <i>
      <x v="9"/>
    </i>
    <i>
      <x v="10"/>
    </i>
    <i>
      <x v="11"/>
    </i>
    <i>
      <x v="14"/>
    </i>
    <i>
      <x v="21"/>
    </i>
    <i>
      <x v="12"/>
    </i>
    <i>
      <x v="20"/>
    </i>
    <i>
      <x v="17"/>
    </i>
    <i>
      <x v="19"/>
    </i>
    <i>
      <x v="13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IOE " fld="4" subtotal="average" baseField="0" baseItem="0"/>
    <dataField name="Average of Employment change, numeric, 2024–34" fld="9" subtotal="average" baseField="0" baseItem="0" numFmtId="164"/>
    <dataField name="Average of Employment change, percent, 2024–34" fld="10" subtotal="average" baseField="0" baseItem="0" numFmtId="164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3"/>
  <sheetViews>
    <sheetView workbookViewId="0">
      <selection activeCell="E2" sqref="E2"/>
    </sheetView>
  </sheetViews>
  <sheetFormatPr defaultRowHeight="15"/>
  <cols>
    <col min="1" max="1" width="50" customWidth="1"/>
    <col min="3" max="3" width="17.140625" customWidth="1"/>
  </cols>
  <sheetData>
    <row r="1" spans="1:24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4"/>
      <c r="T1" s="14"/>
      <c r="U1" s="14"/>
      <c r="V1" s="14"/>
      <c r="W1" s="14"/>
      <c r="X1" s="14"/>
    </row>
    <row r="2" spans="1:24">
      <c r="A2" s="2" t="s">
        <v>16</v>
      </c>
      <c r="B2" s="2" t="s">
        <v>17</v>
      </c>
      <c r="C2" s="2" t="s">
        <v>18</v>
      </c>
      <c r="D2" s="2" t="s">
        <v>19</v>
      </c>
      <c r="E2" s="2">
        <v>1.461149</v>
      </c>
      <c r="F2" s="3">
        <v>226.6</v>
      </c>
      <c r="G2" s="3">
        <v>230.5</v>
      </c>
      <c r="H2" s="3">
        <v>0.1</v>
      </c>
      <c r="I2" s="3">
        <v>0.1</v>
      </c>
      <c r="J2" s="3">
        <v>4</v>
      </c>
      <c r="K2" s="3">
        <v>1.7</v>
      </c>
      <c r="L2" s="3">
        <v>2.2000000000000002</v>
      </c>
      <c r="M2" s="3">
        <v>15.1</v>
      </c>
      <c r="N2" s="4">
        <v>103960</v>
      </c>
      <c r="O2" s="4" t="str" cm="1">
        <f t="array" ref="O2">_xlfn.IFS(N2&lt;45000,"Under 45K",N2&lt;75000,"45K - 75K",N2&lt;100000,"75K - 100K",N2&gt;=100000,"Over 100K")</f>
        <v>Over 100K</v>
      </c>
      <c r="P2" s="2" t="s">
        <v>20</v>
      </c>
      <c r="Q2" s="28"/>
    </row>
    <row r="3" spans="1:24">
      <c r="A3" s="2" t="s">
        <v>21</v>
      </c>
      <c r="B3" s="2" t="s">
        <v>22</v>
      </c>
      <c r="C3" s="2" t="s">
        <v>18</v>
      </c>
      <c r="D3" s="2" t="s">
        <v>19</v>
      </c>
      <c r="E3" s="2">
        <v>1.446232</v>
      </c>
      <c r="F3" s="3">
        <v>868.6</v>
      </c>
      <c r="G3" s="3">
        <v>997.4</v>
      </c>
      <c r="H3" s="3">
        <v>0.5</v>
      </c>
      <c r="I3" s="3">
        <v>0.6</v>
      </c>
      <c r="J3" s="3">
        <v>128.80000000000001</v>
      </c>
      <c r="K3" s="3">
        <v>14.8</v>
      </c>
      <c r="L3" s="3">
        <v>2.4</v>
      </c>
      <c r="M3" s="3">
        <v>74.599999999999994</v>
      </c>
      <c r="N3" s="4">
        <v>161700</v>
      </c>
      <c r="O3" s="4" t="str" cm="1">
        <f t="array" ref="O3">_xlfn.IFS(N3&lt;45000,"Under 45K",N3&lt;75000,"45K - 75K",N3&lt;100000,"75K - 100K",N3&gt;=100000,"Over 100K")</f>
        <v>Over 100K</v>
      </c>
      <c r="P3" s="2" t="s">
        <v>23</v>
      </c>
    </row>
    <row r="4" spans="1:24">
      <c r="A4" s="2" t="s">
        <v>24</v>
      </c>
      <c r="B4" s="2" t="s">
        <v>25</v>
      </c>
      <c r="C4" s="2" t="s">
        <v>18</v>
      </c>
      <c r="D4" s="2" t="s">
        <v>19</v>
      </c>
      <c r="E4" s="2">
        <v>1.4234260000000001</v>
      </c>
      <c r="F4" s="3">
        <v>83.5</v>
      </c>
      <c r="G4" s="3">
        <v>86.1</v>
      </c>
      <c r="H4" s="3">
        <v>0</v>
      </c>
      <c r="I4" s="3">
        <v>0</v>
      </c>
      <c r="J4" s="3">
        <v>2.6</v>
      </c>
      <c r="K4" s="3">
        <v>3.1</v>
      </c>
      <c r="L4" s="3">
        <v>0.8</v>
      </c>
      <c r="M4" s="3">
        <v>6.4</v>
      </c>
      <c r="N4" s="4">
        <v>139510</v>
      </c>
      <c r="O4" s="4" t="str" cm="1">
        <f t="array" ref="O4">_xlfn.IFS(N4&lt;45000,"Under 45K",N4&lt;75000,"45K - 75K",N4&lt;100000,"75K - 100K",N4&gt;=100000,"Over 100K")</f>
        <v>Over 100K</v>
      </c>
      <c r="P4" s="2" t="s">
        <v>23</v>
      </c>
    </row>
    <row r="5" spans="1:24">
      <c r="A5" s="2" t="s">
        <v>26</v>
      </c>
      <c r="B5" s="2" t="s">
        <v>27</v>
      </c>
      <c r="C5" s="2" t="s">
        <v>18</v>
      </c>
      <c r="D5" s="2" t="s">
        <v>19</v>
      </c>
      <c r="E5" s="2">
        <v>1.334246</v>
      </c>
      <c r="F5" s="3">
        <v>309.39999999999998</v>
      </c>
      <c r="G5" s="3">
        <v>322.7</v>
      </c>
      <c r="H5" s="3">
        <v>0.2</v>
      </c>
      <c r="I5" s="3">
        <v>0.2</v>
      </c>
      <c r="J5" s="3">
        <v>13.3</v>
      </c>
      <c r="K5" s="3">
        <v>4.3</v>
      </c>
      <c r="L5" s="3">
        <v>25.9</v>
      </c>
      <c r="M5" s="3">
        <v>22.2</v>
      </c>
      <c r="N5" s="4">
        <v>206420</v>
      </c>
      <c r="O5" s="4" t="str" cm="1">
        <f t="array" ref="O5">_xlfn.IFS(N5&lt;45000,"Under 45K",N5&lt;75000,"45K - 75K",N5&lt;100000,"75K - 100K",N5&gt;=100000,"Over 100K")</f>
        <v>Over 100K</v>
      </c>
      <c r="P5" s="2" t="s">
        <v>23</v>
      </c>
    </row>
    <row r="6" spans="1:24">
      <c r="A6" s="2" t="s">
        <v>28</v>
      </c>
      <c r="B6" s="2" t="s">
        <v>29</v>
      </c>
      <c r="C6" s="2" t="s">
        <v>18</v>
      </c>
      <c r="D6" s="2" t="s">
        <v>19</v>
      </c>
      <c r="E6" s="2">
        <v>1.327906</v>
      </c>
      <c r="F6" s="3">
        <v>104.3</v>
      </c>
      <c r="G6" s="3">
        <v>108.2</v>
      </c>
      <c r="H6" s="3">
        <v>0.1</v>
      </c>
      <c r="I6" s="3">
        <v>0.1</v>
      </c>
      <c r="J6" s="3">
        <v>3.9</v>
      </c>
      <c r="K6" s="3">
        <v>3.7</v>
      </c>
      <c r="L6" s="3" t="s">
        <v>30</v>
      </c>
      <c r="M6" s="3">
        <v>8.5</v>
      </c>
      <c r="N6" s="4">
        <v>161180</v>
      </c>
      <c r="O6" s="4" t="str" cm="1">
        <f t="array" ref="O6">_xlfn.IFS(N6&lt;45000,"Under 45K",N6&lt;75000,"45K - 75K",N6&lt;100000,"75K - 100K",N6&gt;=100000,"Over 100K")</f>
        <v>Over 100K</v>
      </c>
      <c r="P6" s="2" t="s">
        <v>23</v>
      </c>
    </row>
    <row r="7" spans="1:24">
      <c r="A7" s="2" t="s">
        <v>31</v>
      </c>
      <c r="B7" s="2" t="s">
        <v>32</v>
      </c>
      <c r="C7" s="2" t="s">
        <v>18</v>
      </c>
      <c r="D7" s="2" t="s">
        <v>19</v>
      </c>
      <c r="E7" s="2">
        <v>1.320417</v>
      </c>
      <c r="F7" s="3">
        <v>221.9</v>
      </c>
      <c r="G7" s="3">
        <v>233</v>
      </c>
      <c r="H7" s="3">
        <v>0.1</v>
      </c>
      <c r="I7" s="3">
        <v>0.1</v>
      </c>
      <c r="J7" s="3">
        <v>11.1</v>
      </c>
      <c r="K7" s="3">
        <v>5</v>
      </c>
      <c r="L7" s="3">
        <v>0.6</v>
      </c>
      <c r="M7" s="3">
        <v>17.899999999999999</v>
      </c>
      <c r="N7" s="4">
        <v>140030</v>
      </c>
      <c r="O7" s="4" t="str" cm="1">
        <f t="array" ref="O7">_xlfn.IFS(N7&lt;45000,"Under 45K",N7&lt;75000,"45K - 75K",N7&lt;100000,"75K - 100K",N7&gt;=100000,"Over 100K")</f>
        <v>Over 100K</v>
      </c>
      <c r="P7" s="2" t="s">
        <v>23</v>
      </c>
    </row>
    <row r="8" spans="1:24">
      <c r="A8" s="2" t="s">
        <v>33</v>
      </c>
      <c r="B8" s="2" t="s">
        <v>34</v>
      </c>
      <c r="C8" s="2" t="s">
        <v>18</v>
      </c>
      <c r="D8" s="2" t="s">
        <v>19</v>
      </c>
      <c r="E8" s="2">
        <v>1.315032</v>
      </c>
      <c r="F8" s="3">
        <v>407</v>
      </c>
      <c r="G8" s="3">
        <v>433.7</v>
      </c>
      <c r="H8" s="3">
        <v>0.2</v>
      </c>
      <c r="I8" s="3">
        <v>0.2</v>
      </c>
      <c r="J8" s="3">
        <v>26.7</v>
      </c>
      <c r="K8" s="3">
        <v>6.6</v>
      </c>
      <c r="L8" s="3">
        <v>3.6</v>
      </c>
      <c r="M8" s="3">
        <v>34.299999999999997</v>
      </c>
      <c r="N8" s="4">
        <v>161030</v>
      </c>
      <c r="O8" s="4" t="str" cm="1">
        <f t="array" ref="O8">_xlfn.IFS(N8&lt;45000,"Under 45K",N8&lt;75000,"45K - 75K",N8&lt;100000,"75K - 100K",N8&gt;=100000,"Over 100K")</f>
        <v>Over 100K</v>
      </c>
      <c r="P8" s="2" t="s">
        <v>23</v>
      </c>
    </row>
    <row r="9" spans="1:24">
      <c r="A9" s="2" t="s">
        <v>35</v>
      </c>
      <c r="B9" s="2" t="s">
        <v>36</v>
      </c>
      <c r="C9" s="2" t="s">
        <v>18</v>
      </c>
      <c r="D9" s="2" t="s">
        <v>19</v>
      </c>
      <c r="E9" s="2">
        <v>1.298235</v>
      </c>
      <c r="F9" s="3">
        <v>20.9</v>
      </c>
      <c r="G9" s="3">
        <v>20.9</v>
      </c>
      <c r="H9" s="3">
        <v>0</v>
      </c>
      <c r="I9" s="3">
        <v>0</v>
      </c>
      <c r="J9" s="3">
        <v>0</v>
      </c>
      <c r="K9" s="3">
        <v>0.2</v>
      </c>
      <c r="L9" s="3">
        <v>1.4</v>
      </c>
      <c r="M9" s="3">
        <v>1.5</v>
      </c>
      <c r="N9" s="4">
        <v>140360</v>
      </c>
      <c r="O9" s="4" t="str" cm="1">
        <f t="array" ref="O9">_xlfn.IFS(N9&lt;45000,"Under 45K",N9&lt;75000,"45K - 75K",N9&lt;100000,"75K - 100K",N9&gt;=100000,"Over 100K")</f>
        <v>Over 100K</v>
      </c>
      <c r="P9" s="2" t="s">
        <v>23</v>
      </c>
    </row>
    <row r="10" spans="1:24">
      <c r="A10" s="2" t="s">
        <v>37</v>
      </c>
      <c r="B10" s="2" t="s">
        <v>38</v>
      </c>
      <c r="C10" s="2" t="s">
        <v>18</v>
      </c>
      <c r="D10" s="2" t="s">
        <v>19</v>
      </c>
      <c r="E10" s="2">
        <v>1.294387</v>
      </c>
      <c r="F10" s="3">
        <v>27</v>
      </c>
      <c r="G10" s="3">
        <v>26.4</v>
      </c>
      <c r="H10" s="3">
        <v>0</v>
      </c>
      <c r="I10" s="3">
        <v>0</v>
      </c>
      <c r="J10" s="3">
        <v>-0.6</v>
      </c>
      <c r="K10" s="3">
        <v>-2.2000000000000002</v>
      </c>
      <c r="L10" s="3">
        <v>20.7</v>
      </c>
      <c r="M10" s="3">
        <v>2.1</v>
      </c>
      <c r="N10" s="4">
        <v>126960</v>
      </c>
      <c r="O10" s="4" t="str" cm="1">
        <f t="array" ref="O10">_xlfn.IFS(N10&lt;45000,"Under 45K",N10&lt;75000,"45K - 75K",N10&lt;100000,"75K - 100K",N10&gt;=100000,"Over 100K")</f>
        <v>Over 100K</v>
      </c>
      <c r="P10" s="2" t="s">
        <v>23</v>
      </c>
    </row>
    <row r="11" spans="1:24">
      <c r="A11" s="2" t="s">
        <v>39</v>
      </c>
      <c r="B11" s="2" t="s">
        <v>40</v>
      </c>
      <c r="C11" s="2" t="s">
        <v>18</v>
      </c>
      <c r="D11" s="2" t="s">
        <v>19</v>
      </c>
      <c r="E11" s="2">
        <v>1.2844230000000001</v>
      </c>
      <c r="F11" s="3">
        <v>46.4</v>
      </c>
      <c r="G11" s="3">
        <v>49.2</v>
      </c>
      <c r="H11" s="3">
        <v>0</v>
      </c>
      <c r="I11" s="3">
        <v>0</v>
      </c>
      <c r="J11" s="3">
        <v>2.7</v>
      </c>
      <c r="K11" s="3">
        <v>5.8</v>
      </c>
      <c r="L11" s="3" t="s">
        <v>30</v>
      </c>
      <c r="M11" s="3">
        <v>3.8</v>
      </c>
      <c r="N11" s="4">
        <v>127090</v>
      </c>
      <c r="O11" s="4" t="str" cm="1">
        <f t="array" ref="O11">_xlfn.IFS(N11&lt;45000,"Under 45K",N11&lt;75000,"45K - 75K",N11&lt;100000,"75K - 100K",N11&gt;=100000,"Over 100K")</f>
        <v>Over 100K</v>
      </c>
      <c r="P11" s="2" t="s">
        <v>23</v>
      </c>
    </row>
    <row r="12" spans="1:24">
      <c r="A12" s="2" t="s">
        <v>41</v>
      </c>
      <c r="B12" s="2" t="s">
        <v>42</v>
      </c>
      <c r="C12" s="2" t="s">
        <v>18</v>
      </c>
      <c r="D12" s="2" t="s">
        <v>19</v>
      </c>
      <c r="E12" s="2">
        <v>1.2662800000000001</v>
      </c>
      <c r="F12" s="3">
        <v>619.5</v>
      </c>
      <c r="G12" s="3">
        <v>648.5</v>
      </c>
      <c r="H12" s="3">
        <v>0.4</v>
      </c>
      <c r="I12" s="3">
        <v>0.4</v>
      </c>
      <c r="J12" s="3">
        <v>29</v>
      </c>
      <c r="K12" s="3">
        <v>4.7</v>
      </c>
      <c r="L12" s="3">
        <v>0.9</v>
      </c>
      <c r="M12" s="3">
        <v>49</v>
      </c>
      <c r="N12" s="4">
        <v>138060</v>
      </c>
      <c r="O12" s="4" t="str" cm="1">
        <f t="array" ref="O12">_xlfn.IFS(N12&lt;45000,"Under 45K",N12&lt;75000,"45K - 75K",N12&lt;100000,"75K - 100K",N12&gt;=100000,"Over 100K")</f>
        <v>Over 100K</v>
      </c>
      <c r="P12" s="2" t="s">
        <v>23</v>
      </c>
    </row>
    <row r="13" spans="1:24">
      <c r="A13" s="2" t="s">
        <v>43</v>
      </c>
      <c r="B13" s="2" t="s">
        <v>44</v>
      </c>
      <c r="C13" s="2" t="s">
        <v>18</v>
      </c>
      <c r="D13" s="2" t="s">
        <v>19</v>
      </c>
      <c r="E13" s="2">
        <v>1.260259</v>
      </c>
      <c r="F13" s="3">
        <v>616.20000000000005</v>
      </c>
      <c r="G13" s="3">
        <v>759.1</v>
      </c>
      <c r="H13" s="3">
        <v>0.4</v>
      </c>
      <c r="I13" s="3">
        <v>0.4</v>
      </c>
      <c r="J13" s="3">
        <v>142.9</v>
      </c>
      <c r="K13" s="3">
        <v>23.2</v>
      </c>
      <c r="L13" s="3">
        <v>5.0999999999999996</v>
      </c>
      <c r="M13" s="3">
        <v>62.1</v>
      </c>
      <c r="N13" s="4">
        <v>117960</v>
      </c>
      <c r="O13" s="4" t="str" cm="1">
        <f t="array" ref="O13">_xlfn.IFS(N13&lt;45000,"Under 45K",N13&lt;75000,"45K - 75K",N13&lt;100000,"75K - 100K",N13&gt;=100000,"Over 100K")</f>
        <v>Over 100K</v>
      </c>
      <c r="P13" s="2" t="s">
        <v>23</v>
      </c>
    </row>
    <row r="14" spans="1:24">
      <c r="A14" s="2" t="s">
        <v>45</v>
      </c>
      <c r="B14" s="2" t="s">
        <v>46</v>
      </c>
      <c r="C14" s="2" t="s">
        <v>18</v>
      </c>
      <c r="D14" s="2" t="s">
        <v>19</v>
      </c>
      <c r="E14" s="2">
        <v>1.2153959999999999</v>
      </c>
      <c r="F14" s="3">
        <v>466.1</v>
      </c>
      <c r="G14" s="3">
        <v>483.1</v>
      </c>
      <c r="H14" s="3">
        <v>0.3</v>
      </c>
      <c r="I14" s="3">
        <v>0.3</v>
      </c>
      <c r="J14" s="3">
        <v>17</v>
      </c>
      <c r="K14" s="3">
        <v>3.6</v>
      </c>
      <c r="L14" s="3">
        <v>34</v>
      </c>
      <c r="M14" s="3">
        <v>39</v>
      </c>
      <c r="N14" s="4">
        <v>66700</v>
      </c>
      <c r="O14" s="4" t="str" cm="1">
        <f t="array" ref="O14">_xlfn.IFS(N14&lt;45000,"Under 45K",N14&lt;75000,"45K - 75K",N14&lt;100000,"75K - 100K",N14&gt;=100000,"Over 100K")</f>
        <v>45K - 75K</v>
      </c>
      <c r="P14" s="2" t="s">
        <v>47</v>
      </c>
    </row>
    <row r="15" spans="1:24">
      <c r="A15" s="2" t="s">
        <v>48</v>
      </c>
      <c r="B15" s="2" t="s">
        <v>49</v>
      </c>
      <c r="C15" s="2" t="s">
        <v>18</v>
      </c>
      <c r="D15" s="2" t="s">
        <v>19</v>
      </c>
      <c r="E15" s="2">
        <v>1.156153</v>
      </c>
      <c r="F15" s="3">
        <v>219.8</v>
      </c>
      <c r="G15" s="3">
        <v>233.9</v>
      </c>
      <c r="H15" s="3">
        <v>0.1</v>
      </c>
      <c r="I15" s="3">
        <v>0.1</v>
      </c>
      <c r="J15" s="3">
        <v>14.1</v>
      </c>
      <c r="K15" s="3">
        <v>6.4</v>
      </c>
      <c r="L15" s="3">
        <v>5.6</v>
      </c>
      <c r="M15" s="3">
        <v>18.600000000000001</v>
      </c>
      <c r="N15" s="4">
        <v>78240</v>
      </c>
      <c r="O15" s="4" t="str" cm="1">
        <f t="array" ref="O15">_xlfn.IFS(N15&lt;45000,"Under 45K",N15&lt;75000,"45K - 75K",N15&lt;100000,"75K - 100K",N15&gt;=100000,"Over 100K")</f>
        <v>75K - 100K</v>
      </c>
      <c r="P15" s="2" t="s">
        <v>23</v>
      </c>
    </row>
    <row r="16" spans="1:24">
      <c r="A16" s="2" t="s">
        <v>50</v>
      </c>
      <c r="B16" s="2" t="s">
        <v>51</v>
      </c>
      <c r="C16" s="2" t="s">
        <v>18</v>
      </c>
      <c r="D16" s="2" t="s">
        <v>19</v>
      </c>
      <c r="E16" s="2">
        <v>1.0598529999999999</v>
      </c>
      <c r="F16" s="3">
        <v>667.1</v>
      </c>
      <c r="G16" s="3">
        <v>768.7</v>
      </c>
      <c r="H16" s="3">
        <v>0.4</v>
      </c>
      <c r="I16" s="3">
        <v>0.4</v>
      </c>
      <c r="J16" s="3">
        <v>101.6</v>
      </c>
      <c r="K16" s="3">
        <v>15.2</v>
      </c>
      <c r="L16" s="3">
        <v>0.9</v>
      </c>
      <c r="M16" s="3">
        <v>55.6</v>
      </c>
      <c r="N16" s="4">
        <v>171200</v>
      </c>
      <c r="O16" s="4" t="str" cm="1">
        <f t="array" ref="O16">_xlfn.IFS(N16&lt;45000,"Under 45K",N16&lt;75000,"45K - 75K",N16&lt;100000,"75K - 100K",N16&gt;=100000,"Over 100K")</f>
        <v>Over 100K</v>
      </c>
      <c r="P16" s="2" t="s">
        <v>23</v>
      </c>
    </row>
    <row r="17" spans="1:16">
      <c r="A17" s="2" t="s">
        <v>52</v>
      </c>
      <c r="B17" s="2" t="s">
        <v>53</v>
      </c>
      <c r="C17" s="2" t="s">
        <v>18</v>
      </c>
      <c r="D17" s="2" t="s">
        <v>19</v>
      </c>
      <c r="E17" s="2">
        <v>1.0488109999999999</v>
      </c>
      <c r="F17" s="3">
        <v>333.3</v>
      </c>
      <c r="G17" s="3">
        <v>328.1</v>
      </c>
      <c r="H17" s="3">
        <v>0.2</v>
      </c>
      <c r="I17" s="3">
        <v>0.2</v>
      </c>
      <c r="J17" s="3">
        <v>-5.0999999999999996</v>
      </c>
      <c r="K17" s="3">
        <v>-1.5</v>
      </c>
      <c r="L17" s="3">
        <v>1.2</v>
      </c>
      <c r="M17" s="3">
        <v>20.8</v>
      </c>
      <c r="N17" s="4">
        <v>104070</v>
      </c>
      <c r="O17" s="4" t="str" cm="1">
        <f t="array" ref="O17">_xlfn.IFS(N17&lt;45000,"Under 45K",N17&lt;75000,"45K - 75K",N17&lt;100000,"75K - 100K",N17&gt;=100000,"Over 100K")</f>
        <v>Over 100K</v>
      </c>
      <c r="P17" s="2" t="s">
        <v>20</v>
      </c>
    </row>
    <row r="18" spans="1:16">
      <c r="A18" s="2" t="s">
        <v>54</v>
      </c>
      <c r="B18" s="2" t="s">
        <v>55</v>
      </c>
      <c r="C18" s="2" t="s">
        <v>18</v>
      </c>
      <c r="D18" s="2" t="s">
        <v>19</v>
      </c>
      <c r="E18" s="2">
        <v>1.0307679999999999</v>
      </c>
      <c r="F18" s="3">
        <v>13.2</v>
      </c>
      <c r="G18" s="3">
        <v>13.6</v>
      </c>
      <c r="H18" s="3">
        <v>0</v>
      </c>
      <c r="I18" s="3">
        <v>0</v>
      </c>
      <c r="J18" s="3">
        <v>0.4</v>
      </c>
      <c r="K18" s="3">
        <v>3</v>
      </c>
      <c r="L18" s="3" t="s">
        <v>30</v>
      </c>
      <c r="M18" s="3">
        <v>1</v>
      </c>
      <c r="N18" s="4">
        <v>86130</v>
      </c>
      <c r="O18" s="4" t="str" cm="1">
        <f t="array" ref="O18">_xlfn.IFS(N18&lt;45000,"Under 45K",N18&lt;75000,"45K - 75K",N18&lt;100000,"75K - 100K",N18&gt;=100000,"Over 100K")</f>
        <v>75K - 100K</v>
      </c>
      <c r="P18" s="2" t="s">
        <v>23</v>
      </c>
    </row>
    <row r="19" spans="1:16">
      <c r="A19" s="2" t="s">
        <v>56</v>
      </c>
      <c r="B19" s="2" t="s">
        <v>57</v>
      </c>
      <c r="C19" s="2" t="s">
        <v>18</v>
      </c>
      <c r="D19" s="2" t="s">
        <v>19</v>
      </c>
      <c r="E19" s="2">
        <v>1.029139</v>
      </c>
      <c r="F19" s="3">
        <v>550.29999999999995</v>
      </c>
      <c r="G19" s="3">
        <v>598.4</v>
      </c>
      <c r="H19" s="3">
        <v>0.3</v>
      </c>
      <c r="I19" s="3">
        <v>0.3</v>
      </c>
      <c r="J19" s="3">
        <v>48.1</v>
      </c>
      <c r="K19" s="3">
        <v>8.6999999999999993</v>
      </c>
      <c r="L19" s="3">
        <v>35.799999999999997</v>
      </c>
      <c r="M19" s="3">
        <v>46.8</v>
      </c>
      <c r="N19" s="4">
        <v>106980</v>
      </c>
      <c r="O19" s="4" t="str" cm="1">
        <f t="array" ref="O19">_xlfn.IFS(N19&lt;45000,"Under 45K",N19&lt;75000,"45K - 75K",N19&lt;100000,"75K - 100K",N19&gt;=100000,"Over 100K")</f>
        <v>Over 100K</v>
      </c>
      <c r="P19" s="2" t="s">
        <v>23</v>
      </c>
    </row>
    <row r="20" spans="1:16">
      <c r="A20" s="2" t="s">
        <v>58</v>
      </c>
      <c r="B20" s="2" t="s">
        <v>59</v>
      </c>
      <c r="C20" s="2" t="s">
        <v>18</v>
      </c>
      <c r="D20" s="2" t="s">
        <v>19</v>
      </c>
      <c r="E20" s="2">
        <v>0.96468719999999997</v>
      </c>
      <c r="F20" s="3">
        <v>1333.7</v>
      </c>
      <c r="G20" s="3">
        <v>1393.5</v>
      </c>
      <c r="H20" s="3">
        <v>0.8</v>
      </c>
      <c r="I20" s="3">
        <v>0.8</v>
      </c>
      <c r="J20" s="3">
        <v>59.8</v>
      </c>
      <c r="K20" s="3">
        <v>4.5</v>
      </c>
      <c r="L20" s="3">
        <v>48.6</v>
      </c>
      <c r="M20" s="3">
        <v>106.7</v>
      </c>
      <c r="N20" s="4">
        <v>136550</v>
      </c>
      <c r="O20" s="4" t="str" cm="1">
        <f t="array" ref="O20">_xlfn.IFS(N20&lt;45000,"Under 45K",N20&lt;75000,"45K - 75K",N20&lt;100000,"75K - 100K",N20&gt;=100000,"Over 100K")</f>
        <v>Over 100K</v>
      </c>
      <c r="P20" s="2" t="s">
        <v>23</v>
      </c>
    </row>
    <row r="21" spans="1:16">
      <c r="A21" s="2" t="s">
        <v>60</v>
      </c>
      <c r="B21" s="2" t="s">
        <v>61</v>
      </c>
      <c r="C21" s="2" t="s">
        <v>18</v>
      </c>
      <c r="D21" s="2" t="s">
        <v>19</v>
      </c>
      <c r="E21" s="2">
        <v>0.89079229999999998</v>
      </c>
      <c r="F21" s="3">
        <v>216.7</v>
      </c>
      <c r="G21" s="3">
        <v>229.8</v>
      </c>
      <c r="H21" s="3">
        <v>0.1</v>
      </c>
      <c r="I21" s="3">
        <v>0.1</v>
      </c>
      <c r="J21" s="3">
        <v>13.1</v>
      </c>
      <c r="K21" s="3">
        <v>6.1</v>
      </c>
      <c r="L21" s="3">
        <v>1.7</v>
      </c>
      <c r="M21" s="3">
        <v>18.5</v>
      </c>
      <c r="N21" s="4">
        <v>102010</v>
      </c>
      <c r="O21" s="4" t="str" cm="1">
        <f t="array" ref="O21">_xlfn.IFS(N21&lt;45000,"Under 45K",N21&lt;75000,"45K - 75K",N21&lt;100000,"75K - 100K",N21&gt;=100000,"Over 100K")</f>
        <v>Over 100K</v>
      </c>
      <c r="P21" s="2" t="s">
        <v>47</v>
      </c>
    </row>
    <row r="22" spans="1:16">
      <c r="A22" s="2" t="s">
        <v>62</v>
      </c>
      <c r="B22" s="2" t="s">
        <v>63</v>
      </c>
      <c r="C22" s="2" t="s">
        <v>18</v>
      </c>
      <c r="D22" s="2" t="s">
        <v>19</v>
      </c>
      <c r="E22" s="2">
        <v>0.83800699999999995</v>
      </c>
      <c r="F22" s="3">
        <v>90.2</v>
      </c>
      <c r="G22" s="3">
        <v>87.9</v>
      </c>
      <c r="H22" s="3">
        <v>0.1</v>
      </c>
      <c r="I22" s="3">
        <v>0.1</v>
      </c>
      <c r="J22" s="3">
        <v>-2.2999999999999998</v>
      </c>
      <c r="K22" s="3">
        <v>-2.5</v>
      </c>
      <c r="L22" s="3">
        <v>4.9000000000000004</v>
      </c>
      <c r="M22" s="3">
        <v>5.5</v>
      </c>
      <c r="N22" s="4">
        <v>56270</v>
      </c>
      <c r="O22" s="4" t="str" cm="1">
        <f t="array" ref="O22">_xlfn.IFS(N22&lt;45000,"Under 45K",N22&lt;75000,"45K - 75K",N22&lt;100000,"75K - 100K",N22&gt;=100000,"Over 100K")</f>
        <v>45K - 75K</v>
      </c>
      <c r="P22" s="2" t="s">
        <v>23</v>
      </c>
    </row>
    <row r="23" spans="1:16">
      <c r="A23" s="2" t="s">
        <v>64</v>
      </c>
      <c r="B23" s="2" t="s">
        <v>65</v>
      </c>
      <c r="C23" s="2" t="s">
        <v>18</v>
      </c>
      <c r="D23" s="2" t="s">
        <v>19</v>
      </c>
      <c r="E23" s="2">
        <v>0.83701049999999999</v>
      </c>
      <c r="F23" s="3">
        <v>212.5</v>
      </c>
      <c r="G23" s="3">
        <v>220.5</v>
      </c>
      <c r="H23" s="3">
        <v>0.1</v>
      </c>
      <c r="I23" s="3">
        <v>0.1</v>
      </c>
      <c r="J23" s="3">
        <v>8</v>
      </c>
      <c r="K23" s="3">
        <v>3.8</v>
      </c>
      <c r="L23" s="3">
        <v>0.2</v>
      </c>
      <c r="M23" s="3">
        <v>14.5</v>
      </c>
      <c r="N23" s="4">
        <v>167740</v>
      </c>
      <c r="O23" s="4" t="str" cm="1">
        <f t="array" ref="O23">_xlfn.IFS(N23&lt;45000,"Under 45K",N23&lt;75000,"45K - 75K",N23&lt;100000,"75K - 100K",N23&gt;=100000,"Over 100K")</f>
        <v>Over 100K</v>
      </c>
      <c r="P23" s="2" t="s">
        <v>23</v>
      </c>
    </row>
    <row r="24" spans="1:16">
      <c r="A24" s="2" t="s">
        <v>66</v>
      </c>
      <c r="B24" s="2" t="s">
        <v>67</v>
      </c>
      <c r="C24" s="2" t="s">
        <v>18</v>
      </c>
      <c r="D24" s="2" t="s">
        <v>19</v>
      </c>
      <c r="E24" s="2">
        <v>0.82992069999999996</v>
      </c>
      <c r="F24" s="3">
        <v>5.0999999999999996</v>
      </c>
      <c r="G24" s="3">
        <v>5.2</v>
      </c>
      <c r="H24" s="3">
        <v>0</v>
      </c>
      <c r="I24" s="3">
        <v>0</v>
      </c>
      <c r="J24" s="3">
        <v>0.1</v>
      </c>
      <c r="K24" s="3">
        <v>1.2</v>
      </c>
      <c r="L24" s="3">
        <v>7.7</v>
      </c>
      <c r="M24" s="3">
        <v>0.6</v>
      </c>
      <c r="N24" s="4">
        <v>85580</v>
      </c>
      <c r="O24" s="4" t="str" cm="1">
        <f t="array" ref="O24">_xlfn.IFS(N24&lt;45000,"Under 45K",N24&lt;75000,"45K - 75K",N24&lt;100000,"75K - 100K",N24&gt;=100000,"Over 100K")</f>
        <v>75K - 100K</v>
      </c>
      <c r="P24" s="2" t="s">
        <v>47</v>
      </c>
    </row>
    <row r="25" spans="1:16">
      <c r="A25" s="2" t="s">
        <v>68</v>
      </c>
      <c r="B25" s="2" t="s">
        <v>69</v>
      </c>
      <c r="C25" s="2" t="s">
        <v>18</v>
      </c>
      <c r="D25" s="2" t="s">
        <v>19</v>
      </c>
      <c r="E25" s="2">
        <v>0.82337570000000004</v>
      </c>
      <c r="F25" s="3">
        <v>13.1</v>
      </c>
      <c r="G25" s="3">
        <v>12.7</v>
      </c>
      <c r="H25" s="3">
        <v>0</v>
      </c>
      <c r="I25" s="3">
        <v>0</v>
      </c>
      <c r="J25" s="3">
        <v>-0.5</v>
      </c>
      <c r="K25" s="3">
        <v>-3.5</v>
      </c>
      <c r="L25" s="3" t="s">
        <v>30</v>
      </c>
      <c r="M25" s="3">
        <v>0.9</v>
      </c>
      <c r="N25" s="4">
        <v>92730</v>
      </c>
      <c r="O25" s="4" t="str" cm="1">
        <f t="array" ref="O25">_xlfn.IFS(N25&lt;45000,"Under 45K",N25&lt;75000,"45K - 75K",N25&lt;100000,"75K - 100K",N25&gt;=100000,"Over 100K")</f>
        <v>75K - 100K</v>
      </c>
      <c r="P25" s="2" t="s">
        <v>47</v>
      </c>
    </row>
    <row r="26" spans="1:16">
      <c r="A26" s="2" t="s">
        <v>70</v>
      </c>
      <c r="B26" s="2" t="s">
        <v>71</v>
      </c>
      <c r="C26" s="2" t="s">
        <v>18</v>
      </c>
      <c r="D26" s="2" t="s">
        <v>19</v>
      </c>
      <c r="E26" s="2">
        <v>0.57487730000000004</v>
      </c>
      <c r="F26" s="3">
        <v>3712.9</v>
      </c>
      <c r="G26" s="3">
        <v>3876.8</v>
      </c>
      <c r="H26" s="3">
        <v>2.2000000000000002</v>
      </c>
      <c r="I26" s="3">
        <v>2.2000000000000002</v>
      </c>
      <c r="J26" s="3">
        <v>164</v>
      </c>
      <c r="K26" s="3">
        <v>4.4000000000000004</v>
      </c>
      <c r="L26" s="3">
        <v>0.9</v>
      </c>
      <c r="M26" s="3">
        <v>308.7</v>
      </c>
      <c r="N26" s="4">
        <v>102950</v>
      </c>
      <c r="O26" s="4" t="str" cm="1">
        <f t="array" ref="O26">_xlfn.IFS(N26&lt;45000,"Under 45K",N26&lt;75000,"45K - 75K",N26&lt;100000,"75K - 100K",N26&gt;=100000,"Over 100K")</f>
        <v>Over 100K</v>
      </c>
      <c r="P26" s="2" t="s">
        <v>23</v>
      </c>
    </row>
    <row r="27" spans="1:16">
      <c r="A27" s="2" t="s">
        <v>72</v>
      </c>
      <c r="B27" s="2" t="s">
        <v>73</v>
      </c>
      <c r="C27" s="2" t="s">
        <v>18</v>
      </c>
      <c r="D27" s="2" t="s">
        <v>19</v>
      </c>
      <c r="E27" s="2">
        <v>0.50868780000000002</v>
      </c>
      <c r="F27" s="3">
        <v>241.9</v>
      </c>
      <c r="G27" s="3">
        <v>246.5</v>
      </c>
      <c r="H27" s="3">
        <v>0.1</v>
      </c>
      <c r="I27" s="3">
        <v>0.1</v>
      </c>
      <c r="J27" s="3">
        <v>4.5999999999999996</v>
      </c>
      <c r="K27" s="3">
        <v>1.9</v>
      </c>
      <c r="L27" s="3">
        <v>2.6</v>
      </c>
      <c r="M27" s="3">
        <v>17.100000000000001</v>
      </c>
      <c r="N27" s="4">
        <v>121440</v>
      </c>
      <c r="O27" s="4" t="str" cm="1">
        <f t="array" ref="O27">_xlfn.IFS(N27&lt;45000,"Under 45K",N27&lt;75000,"45K - 75K",N27&lt;100000,"75K - 100K",N27&gt;=100000,"Over 100K")</f>
        <v>Over 100K</v>
      </c>
      <c r="P27" s="2" t="s">
        <v>23</v>
      </c>
    </row>
    <row r="28" spans="1:16">
      <c r="A28" s="2" t="s">
        <v>74</v>
      </c>
      <c r="B28" s="2" t="s">
        <v>75</v>
      </c>
      <c r="C28" s="2" t="s">
        <v>18</v>
      </c>
      <c r="D28" s="2" t="s">
        <v>19</v>
      </c>
      <c r="E28" s="2">
        <v>0.40217259999999999</v>
      </c>
      <c r="F28" s="3">
        <v>52</v>
      </c>
      <c r="G28" s="3">
        <v>53.8</v>
      </c>
      <c r="H28" s="3">
        <v>0</v>
      </c>
      <c r="I28" s="3">
        <v>0</v>
      </c>
      <c r="J28" s="3">
        <v>1.8</v>
      </c>
      <c r="K28" s="3">
        <v>3.4</v>
      </c>
      <c r="L28" s="3">
        <v>19.100000000000001</v>
      </c>
      <c r="M28" s="3">
        <v>5.4</v>
      </c>
      <c r="N28" s="4">
        <v>68130</v>
      </c>
      <c r="O28" s="4" t="str" cm="1">
        <f t="array" ref="O28">_xlfn.IFS(N28&lt;45000,"Under 45K",N28&lt;75000,"45K - 75K",N28&lt;100000,"75K - 100K",N28&gt;=100000,"Over 100K")</f>
        <v>45K - 75K</v>
      </c>
      <c r="P28" s="2" t="s">
        <v>47</v>
      </c>
    </row>
    <row r="29" spans="1:16">
      <c r="A29" s="2" t="s">
        <v>76</v>
      </c>
      <c r="B29" s="2" t="s">
        <v>77</v>
      </c>
      <c r="C29" s="2" t="s">
        <v>18</v>
      </c>
      <c r="D29" s="2" t="s">
        <v>19</v>
      </c>
      <c r="E29" s="2">
        <v>0.35412650000000001</v>
      </c>
      <c r="F29" s="3">
        <v>60.2</v>
      </c>
      <c r="G29" s="3">
        <v>61.7</v>
      </c>
      <c r="H29" s="3">
        <v>0</v>
      </c>
      <c r="I29" s="3">
        <v>0</v>
      </c>
      <c r="J29" s="3">
        <v>1.5</v>
      </c>
      <c r="K29" s="3">
        <v>2.5</v>
      </c>
      <c r="L29" s="3">
        <v>3.5</v>
      </c>
      <c r="M29" s="3">
        <v>4.0999999999999996</v>
      </c>
      <c r="N29" s="4">
        <v>89040</v>
      </c>
      <c r="O29" s="4" t="str" cm="1">
        <f t="array" ref="O29">_xlfn.IFS(N29&lt;45000,"Under 45K",N29&lt;75000,"45K - 75K",N29&lt;100000,"75K - 100K",N29&gt;=100000,"Over 100K")</f>
        <v>75K - 100K</v>
      </c>
      <c r="P29" s="2" t="s">
        <v>23</v>
      </c>
    </row>
    <row r="30" spans="1:16">
      <c r="A30" s="2" t="s">
        <v>78</v>
      </c>
      <c r="B30" s="2" t="s">
        <v>79</v>
      </c>
      <c r="C30" s="2" t="s">
        <v>18</v>
      </c>
      <c r="D30" s="2" t="s">
        <v>19</v>
      </c>
      <c r="E30" s="15">
        <v>0</v>
      </c>
      <c r="F30" s="3">
        <v>27.7</v>
      </c>
      <c r="G30" s="3">
        <v>28.6</v>
      </c>
      <c r="H30" s="3">
        <v>0</v>
      </c>
      <c r="I30" s="3">
        <v>0</v>
      </c>
      <c r="J30" s="3">
        <v>0.9</v>
      </c>
      <c r="K30" s="3">
        <v>3.4</v>
      </c>
      <c r="L30" s="3" t="s">
        <v>30</v>
      </c>
      <c r="M30" s="3">
        <v>2.2000000000000002</v>
      </c>
      <c r="N30" s="4">
        <v>44810</v>
      </c>
      <c r="O30" s="4" t="str" cm="1">
        <f t="array" ref="O30">_xlfn.IFS(N30&lt;45000,"Under 45K",N30&lt;75000,"45K - 75K",N30&lt;100000,"75K - 100K",N30&gt;=100000,"Over 100K")</f>
        <v>Under 45K</v>
      </c>
      <c r="P30" s="2" t="s">
        <v>23</v>
      </c>
    </row>
    <row r="31" spans="1:16">
      <c r="A31" s="2" t="s">
        <v>80</v>
      </c>
      <c r="B31" s="2" t="s">
        <v>81</v>
      </c>
      <c r="C31" s="2" t="s">
        <v>18</v>
      </c>
      <c r="D31" s="2" t="s">
        <v>19</v>
      </c>
      <c r="E31" s="15">
        <v>0</v>
      </c>
      <c r="F31" s="3">
        <v>83.2</v>
      </c>
      <c r="G31" s="3">
        <v>87.3</v>
      </c>
      <c r="H31" s="3">
        <v>0</v>
      </c>
      <c r="I31" s="3">
        <v>0</v>
      </c>
      <c r="J31" s="3">
        <v>4.0999999999999996</v>
      </c>
      <c r="K31" s="3">
        <v>5</v>
      </c>
      <c r="L31" s="3">
        <v>0.3</v>
      </c>
      <c r="M31" s="3">
        <v>6.6</v>
      </c>
      <c r="N31" s="4">
        <v>138520</v>
      </c>
      <c r="O31" s="4" t="str" cm="1">
        <f t="array" ref="O31">_xlfn.IFS(N31&lt;45000,"Under 45K",N31&lt;75000,"45K - 75K",N31&lt;100000,"75K - 100K",N31&gt;=100000,"Over 100K")</f>
        <v>Over 100K</v>
      </c>
      <c r="P31" s="2" t="s">
        <v>23</v>
      </c>
    </row>
    <row r="32" spans="1:16">
      <c r="A32" s="2" t="s">
        <v>82</v>
      </c>
      <c r="B32" s="2" t="s">
        <v>83</v>
      </c>
      <c r="C32" s="2" t="s">
        <v>18</v>
      </c>
      <c r="D32" s="2" t="s">
        <v>19</v>
      </c>
      <c r="E32" s="15">
        <v>0</v>
      </c>
      <c r="F32" s="3">
        <v>45.7</v>
      </c>
      <c r="G32" s="3">
        <v>47.6</v>
      </c>
      <c r="H32" s="3">
        <v>0</v>
      </c>
      <c r="I32" s="3">
        <v>0</v>
      </c>
      <c r="J32" s="3">
        <v>1.9</v>
      </c>
      <c r="K32" s="3">
        <v>4.2</v>
      </c>
      <c r="L32" s="3">
        <v>0.2</v>
      </c>
      <c r="M32" s="3">
        <v>3.6</v>
      </c>
      <c r="N32" s="4">
        <v>123480</v>
      </c>
      <c r="O32" s="4" t="str" cm="1">
        <f t="array" ref="O32">_xlfn.IFS(N32&lt;45000,"Under 45K",N32&lt;75000,"45K - 75K",N32&lt;100000,"75K - 100K",N32&gt;=100000,"Over 100K")</f>
        <v>Over 100K</v>
      </c>
      <c r="P32" s="2" t="s">
        <v>23</v>
      </c>
    </row>
    <row r="33" spans="1:16">
      <c r="A33" s="2" t="s">
        <v>84</v>
      </c>
      <c r="B33" s="2" t="s">
        <v>85</v>
      </c>
      <c r="C33" s="2" t="s">
        <v>18</v>
      </c>
      <c r="D33" s="2" t="s">
        <v>19</v>
      </c>
      <c r="E33" s="2">
        <v>0</v>
      </c>
      <c r="F33" s="3">
        <v>271.2</v>
      </c>
      <c r="G33" s="3">
        <v>283.8</v>
      </c>
      <c r="H33" s="3">
        <v>0.2</v>
      </c>
      <c r="I33" s="3">
        <v>0.2</v>
      </c>
      <c r="J33" s="3">
        <v>12.6</v>
      </c>
      <c r="K33" s="3">
        <v>4.5999999999999996</v>
      </c>
      <c r="L33" s="3">
        <v>0</v>
      </c>
      <c r="M33" s="3">
        <v>23.2</v>
      </c>
      <c r="N33" s="4">
        <v>108390</v>
      </c>
      <c r="O33" s="4" t="str" cm="1">
        <f t="array" ref="O33">_xlfn.IFS(N33&lt;45000,"Under 45K",N33&lt;75000,"45K - 75K",N33&lt;100000,"75K - 100K",N33&gt;=100000,"Over 100K")</f>
        <v>Over 100K</v>
      </c>
      <c r="P33" s="2" t="s">
        <v>23</v>
      </c>
    </row>
    <row r="34" spans="1:16">
      <c r="A34" s="2" t="s">
        <v>86</v>
      </c>
      <c r="B34" s="2" t="s">
        <v>87</v>
      </c>
      <c r="C34" s="2" t="s">
        <v>18</v>
      </c>
      <c r="D34" s="2" t="s">
        <v>19</v>
      </c>
      <c r="E34" s="15">
        <v>0</v>
      </c>
      <c r="F34" s="3">
        <v>151.4</v>
      </c>
      <c r="G34" s="3">
        <v>157.1</v>
      </c>
      <c r="H34" s="3">
        <v>0.1</v>
      </c>
      <c r="I34" s="3">
        <v>0.1</v>
      </c>
      <c r="J34" s="3">
        <v>5.7</v>
      </c>
      <c r="K34" s="3">
        <v>3.8</v>
      </c>
      <c r="L34" s="3" t="s">
        <v>30</v>
      </c>
      <c r="M34" s="3">
        <v>13.2</v>
      </c>
      <c r="N34" s="4">
        <v>104690</v>
      </c>
      <c r="O34" s="4" t="str" cm="1">
        <f t="array" ref="O34">_xlfn.IFS(N34&lt;45000,"Under 45K",N34&lt;75000,"45K - 75K",N34&lt;100000,"75K - 100K",N34&gt;=100000,"Over 100K")</f>
        <v>Over 100K</v>
      </c>
      <c r="P34" s="2" t="s">
        <v>23</v>
      </c>
    </row>
    <row r="35" spans="1:16">
      <c r="A35" s="2" t="s">
        <v>88</v>
      </c>
      <c r="B35" s="2" t="s">
        <v>89</v>
      </c>
      <c r="C35" s="2" t="s">
        <v>18</v>
      </c>
      <c r="D35" s="2" t="s">
        <v>19</v>
      </c>
      <c r="E35" s="15">
        <v>0</v>
      </c>
      <c r="F35" s="3">
        <v>43.2</v>
      </c>
      <c r="G35" s="3">
        <v>46.5</v>
      </c>
      <c r="H35" s="3">
        <v>0</v>
      </c>
      <c r="I35" s="3">
        <v>0</v>
      </c>
      <c r="J35" s="3">
        <v>3.3</v>
      </c>
      <c r="K35" s="3">
        <v>7.7</v>
      </c>
      <c r="L35" s="3">
        <v>8.6</v>
      </c>
      <c r="M35" s="3">
        <v>5.5</v>
      </c>
      <c r="N35" s="4">
        <v>77180</v>
      </c>
      <c r="O35" s="4" t="str" cm="1">
        <f t="array" ref="O35">_xlfn.IFS(N35&lt;45000,"Under 45K",N35&lt;75000,"45K - 75K",N35&lt;100000,"75K - 100K",N35&gt;=100000,"Over 100K")</f>
        <v>75K - 100K</v>
      </c>
      <c r="P35" s="2" t="s">
        <v>23</v>
      </c>
    </row>
    <row r="36" spans="1:16">
      <c r="A36" s="2" t="s">
        <v>90</v>
      </c>
      <c r="B36" s="2" t="s">
        <v>91</v>
      </c>
      <c r="C36" s="2" t="s">
        <v>18</v>
      </c>
      <c r="D36" s="2" t="s">
        <v>19</v>
      </c>
      <c r="E36" s="15">
        <v>0</v>
      </c>
      <c r="F36" s="3">
        <v>32.1</v>
      </c>
      <c r="G36" s="3">
        <v>33.4</v>
      </c>
      <c r="H36" s="3">
        <v>0</v>
      </c>
      <c r="I36" s="3">
        <v>0</v>
      </c>
      <c r="J36" s="3">
        <v>1.3</v>
      </c>
      <c r="K36" s="3">
        <v>4.0999999999999996</v>
      </c>
      <c r="L36" s="3">
        <v>56.1</v>
      </c>
      <c r="M36" s="3">
        <v>2.6</v>
      </c>
      <c r="N36" s="4">
        <v>76830</v>
      </c>
      <c r="O36" s="4" t="str" cm="1">
        <f t="array" ref="O36">_xlfn.IFS(N36&lt;45000,"Under 45K",N36&lt;75000,"45K - 75K",N36&lt;100000,"75K - 100K",N36&gt;=100000,"Over 100K")</f>
        <v>75K - 100K</v>
      </c>
      <c r="P36" s="2" t="s">
        <v>92</v>
      </c>
    </row>
    <row r="37" spans="1:16">
      <c r="A37" s="2" t="s">
        <v>93</v>
      </c>
      <c r="B37" s="2" t="s">
        <v>94</v>
      </c>
      <c r="C37" s="2" t="s">
        <v>18</v>
      </c>
      <c r="D37" s="2" t="s">
        <v>19</v>
      </c>
      <c r="E37" s="15">
        <v>0</v>
      </c>
      <c r="F37" s="3">
        <v>25.1</v>
      </c>
      <c r="G37" s="3">
        <v>26.7</v>
      </c>
      <c r="H37" s="3">
        <v>0</v>
      </c>
      <c r="I37" s="3">
        <v>0</v>
      </c>
      <c r="J37" s="3">
        <v>1.6</v>
      </c>
      <c r="K37" s="3">
        <v>6.5</v>
      </c>
      <c r="L37" s="3">
        <v>54.3</v>
      </c>
      <c r="M37" s="3">
        <v>2.1</v>
      </c>
      <c r="N37" s="4">
        <v>61340</v>
      </c>
      <c r="O37" s="4" t="str" cm="1">
        <f t="array" ref="O37">_xlfn.IFS(N37&lt;45000,"Under 45K",N37&lt;75000,"45K - 75K",N37&lt;100000,"75K - 100K",N37&gt;=100000,"Over 100K")</f>
        <v>45K - 75K</v>
      </c>
      <c r="P37" s="2" t="s">
        <v>47</v>
      </c>
    </row>
    <row r="38" spans="1:16">
      <c r="A38" s="2" t="s">
        <v>95</v>
      </c>
      <c r="B38" s="2" t="s">
        <v>96</v>
      </c>
      <c r="C38" s="2" t="s">
        <v>18</v>
      </c>
      <c r="D38" s="2" t="s">
        <v>19</v>
      </c>
      <c r="E38" s="2">
        <v>-0.12131119999999999</v>
      </c>
      <c r="F38" s="3">
        <v>352.8</v>
      </c>
      <c r="G38" s="3">
        <v>375.3</v>
      </c>
      <c r="H38" s="3">
        <v>0.2</v>
      </c>
      <c r="I38" s="3">
        <v>0.2</v>
      </c>
      <c r="J38" s="3">
        <v>22.6</v>
      </c>
      <c r="K38" s="3">
        <v>6.4</v>
      </c>
      <c r="L38" s="3">
        <v>30.3</v>
      </c>
      <c r="M38" s="3">
        <v>42</v>
      </c>
      <c r="N38" s="4">
        <v>65310</v>
      </c>
      <c r="O38" s="4" t="str" cm="1">
        <f t="array" ref="O38">_xlfn.IFS(N38&lt;45000,"Under 45K",N38&lt;75000,"45K - 75K",N38&lt;100000,"75K - 100K",N38&gt;=100000,"Over 100K")</f>
        <v>45K - 75K</v>
      </c>
      <c r="P38" s="2" t="s">
        <v>47</v>
      </c>
    </row>
    <row r="39" spans="1:16">
      <c r="A39" s="2" t="s">
        <v>97</v>
      </c>
      <c r="B39" s="2" t="s">
        <v>98</v>
      </c>
      <c r="C39" s="2" t="s">
        <v>18</v>
      </c>
      <c r="D39" s="2" t="s">
        <v>19</v>
      </c>
      <c r="E39" s="2">
        <v>-0.14436840000000001</v>
      </c>
      <c r="F39" s="3">
        <v>836.1</v>
      </c>
      <c r="G39" s="3">
        <v>825</v>
      </c>
      <c r="H39" s="3">
        <v>0.5</v>
      </c>
      <c r="I39" s="3">
        <v>0.5</v>
      </c>
      <c r="J39" s="3">
        <v>-11.1</v>
      </c>
      <c r="K39" s="3">
        <v>-1.3</v>
      </c>
      <c r="L39" s="3">
        <v>62.6</v>
      </c>
      <c r="M39" s="3">
        <v>85.5</v>
      </c>
      <c r="N39" s="4">
        <v>87980</v>
      </c>
      <c r="O39" s="4" t="str" cm="1">
        <f t="array" ref="O39">_xlfn.IFS(N39&lt;45000,"Under 45K",N39&lt;75000,"45K - 75K",N39&lt;100000,"75K - 100K",N39&gt;=100000,"Over 100K")</f>
        <v>75K - 100K</v>
      </c>
      <c r="P39" s="2" t="s">
        <v>47</v>
      </c>
    </row>
    <row r="40" spans="1:16">
      <c r="A40" s="2" t="s">
        <v>99</v>
      </c>
      <c r="B40" s="2" t="s">
        <v>100</v>
      </c>
      <c r="C40" s="2" t="s">
        <v>101</v>
      </c>
      <c r="D40" s="2" t="s">
        <v>19</v>
      </c>
      <c r="E40" s="2">
        <v>1.5260640000000001</v>
      </c>
      <c r="F40" s="3">
        <v>65.099999999999994</v>
      </c>
      <c r="G40" s="3">
        <v>77.2</v>
      </c>
      <c r="H40" s="3">
        <v>0</v>
      </c>
      <c r="I40" s="3">
        <v>0</v>
      </c>
      <c r="J40" s="3">
        <v>12.1</v>
      </c>
      <c r="K40" s="3">
        <v>18.5</v>
      </c>
      <c r="L40" s="3">
        <v>0.4</v>
      </c>
      <c r="M40" s="3">
        <v>5.7</v>
      </c>
      <c r="N40" s="4">
        <v>90400</v>
      </c>
      <c r="O40" s="4" t="str" cm="1">
        <f t="array" ref="O40">_xlfn.IFS(N40&lt;45000,"Under 45K",N40&lt;75000,"45K - 75K",N40&lt;100000,"75K - 100K",N40&gt;=100000,"Over 100K")</f>
        <v>75K - 100K</v>
      </c>
      <c r="P40" s="2" t="s">
        <v>23</v>
      </c>
    </row>
    <row r="41" spans="1:16">
      <c r="A41" s="2" t="s">
        <v>102</v>
      </c>
      <c r="B41" s="2" t="s">
        <v>103</v>
      </c>
      <c r="C41" s="2" t="s">
        <v>101</v>
      </c>
      <c r="D41" s="2" t="s">
        <v>19</v>
      </c>
      <c r="E41" s="2">
        <v>1.502988</v>
      </c>
      <c r="F41" s="3">
        <v>50.4</v>
      </c>
      <c r="G41" s="3">
        <v>51</v>
      </c>
      <c r="H41" s="3">
        <v>0</v>
      </c>
      <c r="I41" s="3">
        <v>0</v>
      </c>
      <c r="J41" s="3">
        <v>0.5</v>
      </c>
      <c r="K41" s="3">
        <v>1</v>
      </c>
      <c r="L41" s="3" t="s">
        <v>30</v>
      </c>
      <c r="M41" s="3">
        <v>3.1</v>
      </c>
      <c r="N41" s="4">
        <v>87930</v>
      </c>
      <c r="O41" s="4" t="str" cm="1">
        <f t="array" ref="O41">_xlfn.IFS(N41&lt;45000,"Under 45K",N41&lt;75000,"45K - 75K",N41&lt;100000,"75K - 100K",N41&gt;=100000,"Over 100K")</f>
        <v>75K - 100K</v>
      </c>
      <c r="P41" s="2" t="s">
        <v>23</v>
      </c>
    </row>
    <row r="42" spans="1:16">
      <c r="A42" s="2" t="s">
        <v>104</v>
      </c>
      <c r="B42" s="2" t="s">
        <v>105</v>
      </c>
      <c r="C42" s="2" t="s">
        <v>101</v>
      </c>
      <c r="D42" s="2" t="s">
        <v>19</v>
      </c>
      <c r="E42" s="2">
        <v>1.4819560000000001</v>
      </c>
      <c r="F42" s="3">
        <v>1579.8</v>
      </c>
      <c r="G42" s="3">
        <v>1652.6</v>
      </c>
      <c r="H42" s="3">
        <v>0.9</v>
      </c>
      <c r="I42" s="3">
        <v>0.9</v>
      </c>
      <c r="J42" s="3">
        <v>72.8</v>
      </c>
      <c r="K42" s="3">
        <v>4.5999999999999996</v>
      </c>
      <c r="L42" s="3">
        <v>4.5999999999999996</v>
      </c>
      <c r="M42" s="3">
        <v>124.2</v>
      </c>
      <c r="N42" s="4">
        <v>81680</v>
      </c>
      <c r="O42" s="4" t="str" cm="1">
        <f t="array" ref="O42">_xlfn.IFS(N42&lt;45000,"Under 45K",N42&lt;75000,"45K - 75K",N42&lt;100000,"75K - 100K",N42&gt;=100000,"Over 100K")</f>
        <v>75K - 100K</v>
      </c>
      <c r="P42" s="2" t="s">
        <v>23</v>
      </c>
    </row>
    <row r="43" spans="1:16">
      <c r="A43" s="2" t="s">
        <v>106</v>
      </c>
      <c r="B43" s="2" t="s">
        <v>107</v>
      </c>
      <c r="C43" s="2" t="s">
        <v>101</v>
      </c>
      <c r="D43" s="2" t="s">
        <v>19</v>
      </c>
      <c r="E43" s="2">
        <v>1.440985</v>
      </c>
      <c r="F43" s="3">
        <v>107</v>
      </c>
      <c r="G43" s="3">
        <v>112.7</v>
      </c>
      <c r="H43" s="3">
        <v>0.1</v>
      </c>
      <c r="I43" s="3">
        <v>0.1</v>
      </c>
      <c r="J43" s="3">
        <v>5.6</v>
      </c>
      <c r="K43" s="3">
        <v>5.3</v>
      </c>
      <c r="L43" s="3" t="s">
        <v>30</v>
      </c>
      <c r="M43" s="3">
        <v>8.5</v>
      </c>
      <c r="N43" s="4">
        <v>77020</v>
      </c>
      <c r="O43" s="4" t="str" cm="1">
        <f t="array" ref="O43">_xlfn.IFS(N43&lt;45000,"Under 45K",N43&lt;75000,"45K - 75K",N43&lt;100000,"75K - 100K",N43&gt;=100000,"Over 100K")</f>
        <v>75K - 100K</v>
      </c>
      <c r="P43" s="2" t="s">
        <v>23</v>
      </c>
    </row>
    <row r="44" spans="1:16">
      <c r="A44" s="2" t="s">
        <v>108</v>
      </c>
      <c r="B44" s="2" t="s">
        <v>109</v>
      </c>
      <c r="C44" s="2" t="s">
        <v>101</v>
      </c>
      <c r="D44" s="2" t="s">
        <v>19</v>
      </c>
      <c r="E44" s="2">
        <v>1.4324170000000001</v>
      </c>
      <c r="F44" s="3">
        <v>1075.0999999999999</v>
      </c>
      <c r="G44" s="3">
        <v>1169.7</v>
      </c>
      <c r="H44" s="3">
        <v>0.6</v>
      </c>
      <c r="I44" s="3">
        <v>0.7</v>
      </c>
      <c r="J44" s="3">
        <v>94.5</v>
      </c>
      <c r="K44" s="3">
        <v>8.8000000000000007</v>
      </c>
      <c r="L44" s="3">
        <v>13.7</v>
      </c>
      <c r="M44" s="3">
        <v>98.1</v>
      </c>
      <c r="N44" s="4">
        <v>101190</v>
      </c>
      <c r="O44" s="4" t="str" cm="1">
        <f t="array" ref="O44">_xlfn.IFS(N44&lt;45000,"Under 45K",N44&lt;75000,"45K - 75K",N44&lt;100000,"75K - 100K",N44&gt;=100000,"Over 100K")</f>
        <v>Over 100K</v>
      </c>
      <c r="P44" s="2" t="s">
        <v>23</v>
      </c>
    </row>
    <row r="45" spans="1:16">
      <c r="A45" s="2" t="s">
        <v>110</v>
      </c>
      <c r="B45" s="2" t="s">
        <v>111</v>
      </c>
      <c r="C45" s="2" t="s">
        <v>101</v>
      </c>
      <c r="D45" s="2" t="s">
        <v>19</v>
      </c>
      <c r="E45" s="2">
        <v>1.4267570000000001</v>
      </c>
      <c r="F45" s="3">
        <v>941.7</v>
      </c>
      <c r="G45" s="3">
        <v>1004.7</v>
      </c>
      <c r="H45" s="3">
        <v>0.6</v>
      </c>
      <c r="I45" s="3">
        <v>0.6</v>
      </c>
      <c r="J45" s="3">
        <v>63</v>
      </c>
      <c r="K45" s="3">
        <v>6.7</v>
      </c>
      <c r="L45" s="3">
        <v>5.9</v>
      </c>
      <c r="M45" s="3">
        <v>87.2</v>
      </c>
      <c r="N45" s="4">
        <v>76950</v>
      </c>
      <c r="O45" s="4" t="str" cm="1">
        <f t="array" ref="O45">_xlfn.IFS(N45&lt;45000,"Under 45K",N45&lt;75000,"45K - 75K",N45&lt;100000,"75K - 100K",N45&gt;=100000,"Over 100K")</f>
        <v>75K - 100K</v>
      </c>
      <c r="P45" s="2" t="s">
        <v>23</v>
      </c>
    </row>
    <row r="46" spans="1:16">
      <c r="A46" s="2" t="s">
        <v>112</v>
      </c>
      <c r="B46" s="2" t="s">
        <v>113</v>
      </c>
      <c r="C46" s="2" t="s">
        <v>101</v>
      </c>
      <c r="D46" s="2" t="s">
        <v>19</v>
      </c>
      <c r="E46" s="2">
        <v>1.400749</v>
      </c>
      <c r="F46" s="3">
        <v>326</v>
      </c>
      <c r="G46" s="3">
        <v>357.2</v>
      </c>
      <c r="H46" s="3">
        <v>0.2</v>
      </c>
      <c r="I46" s="3">
        <v>0.2</v>
      </c>
      <c r="J46" s="3">
        <v>31.2</v>
      </c>
      <c r="K46" s="3">
        <v>9.6</v>
      </c>
      <c r="L46" s="3">
        <v>15.8</v>
      </c>
      <c r="M46" s="3">
        <v>24.1</v>
      </c>
      <c r="N46" s="4">
        <v>102140</v>
      </c>
      <c r="O46" s="4" t="str" cm="1">
        <f t="array" ref="O46">_xlfn.IFS(N46&lt;45000,"Under 45K",N46&lt;75000,"45K - 75K",N46&lt;100000,"75K - 100K",N46&gt;=100000,"Over 100K")</f>
        <v>Over 100K</v>
      </c>
      <c r="P46" s="2" t="s">
        <v>23</v>
      </c>
    </row>
    <row r="47" spans="1:16">
      <c r="A47" s="2" t="s">
        <v>114</v>
      </c>
      <c r="B47" s="2" t="s">
        <v>115</v>
      </c>
      <c r="C47" s="2" t="s">
        <v>101</v>
      </c>
      <c r="D47" s="2" t="s">
        <v>19</v>
      </c>
      <c r="E47" s="2">
        <v>1.3857390000000001</v>
      </c>
      <c r="F47" s="3">
        <v>301.39999999999998</v>
      </c>
      <c r="G47" s="3">
        <v>306.5</v>
      </c>
      <c r="H47" s="3">
        <v>0.2</v>
      </c>
      <c r="I47" s="3">
        <v>0.2</v>
      </c>
      <c r="J47" s="3">
        <v>5</v>
      </c>
      <c r="K47" s="3">
        <v>1.7</v>
      </c>
      <c r="L47" s="3">
        <v>2.1</v>
      </c>
      <c r="M47" s="3">
        <v>20.3</v>
      </c>
      <c r="N47" s="4">
        <v>74180</v>
      </c>
      <c r="O47" s="4" t="str" cm="1">
        <f t="array" ref="O47">_xlfn.IFS(N47&lt;45000,"Under 45K",N47&lt;75000,"45K - 75K",N47&lt;100000,"75K - 100K",N47&gt;=100000,"Over 100K")</f>
        <v>45K - 75K</v>
      </c>
      <c r="P47" s="2" t="s">
        <v>23</v>
      </c>
    </row>
    <row r="48" spans="1:16">
      <c r="A48" s="2" t="s">
        <v>116</v>
      </c>
      <c r="B48" s="2" t="s">
        <v>117</v>
      </c>
      <c r="C48" s="2" t="s">
        <v>101</v>
      </c>
      <c r="D48" s="2" t="s">
        <v>19</v>
      </c>
      <c r="E48" s="2">
        <v>1.385381</v>
      </c>
      <c r="F48" s="3">
        <v>31.8</v>
      </c>
      <c r="G48" s="3">
        <v>32.9</v>
      </c>
      <c r="H48" s="3">
        <v>0</v>
      </c>
      <c r="I48" s="3">
        <v>0</v>
      </c>
      <c r="J48" s="3">
        <v>1.1000000000000001</v>
      </c>
      <c r="K48" s="3">
        <v>3.3</v>
      </c>
      <c r="L48" s="3">
        <v>1.4</v>
      </c>
      <c r="M48" s="3">
        <v>2.2000000000000002</v>
      </c>
      <c r="N48" s="4">
        <v>50480</v>
      </c>
      <c r="O48" s="4" t="str" cm="1">
        <f t="array" ref="O48">_xlfn.IFS(N48&lt;45000,"Under 45K",N48&lt;75000,"45K - 75K",N48&lt;100000,"75K - 100K",N48&gt;=100000,"Over 100K")</f>
        <v>45K - 75K</v>
      </c>
      <c r="P48" s="2" t="s">
        <v>23</v>
      </c>
    </row>
    <row r="49" spans="1:16">
      <c r="A49" s="2" t="s">
        <v>118</v>
      </c>
      <c r="B49" s="2" t="s">
        <v>119</v>
      </c>
      <c r="C49" s="2" t="s">
        <v>101</v>
      </c>
      <c r="D49" s="2" t="s">
        <v>19</v>
      </c>
      <c r="E49" s="2">
        <v>1.3806149999999999</v>
      </c>
      <c r="F49" s="3">
        <v>368.5</v>
      </c>
      <c r="G49" s="3">
        <v>389.6</v>
      </c>
      <c r="H49" s="3">
        <v>0.2</v>
      </c>
      <c r="I49" s="3">
        <v>0.2</v>
      </c>
      <c r="J49" s="3">
        <v>21.1</v>
      </c>
      <c r="K49" s="3">
        <v>5.7</v>
      </c>
      <c r="L49" s="3">
        <v>5</v>
      </c>
      <c r="M49" s="3">
        <v>25.1</v>
      </c>
      <c r="N49" s="4">
        <v>101350</v>
      </c>
      <c r="O49" s="4" t="str" cm="1">
        <f t="array" ref="O49">_xlfn.IFS(N49&lt;45000,"Under 45K",N49&lt;75000,"45K - 75K",N49&lt;100000,"75K - 100K",N49&gt;=100000,"Over 100K")</f>
        <v>Over 100K</v>
      </c>
      <c r="P49" s="2" t="s">
        <v>23</v>
      </c>
    </row>
    <row r="50" spans="1:16">
      <c r="A50" s="2" t="s">
        <v>120</v>
      </c>
      <c r="B50" s="2" t="s">
        <v>121</v>
      </c>
      <c r="C50" s="2" t="s">
        <v>101</v>
      </c>
      <c r="D50" s="2" t="s">
        <v>19</v>
      </c>
      <c r="E50" s="2">
        <v>1.367669</v>
      </c>
      <c r="F50" s="3">
        <v>221.4</v>
      </c>
      <c r="G50" s="3">
        <v>212.1</v>
      </c>
      <c r="H50" s="3">
        <v>0.1</v>
      </c>
      <c r="I50" s="3">
        <v>0.1</v>
      </c>
      <c r="J50" s="3">
        <v>-9.3000000000000007</v>
      </c>
      <c r="K50" s="3">
        <v>-4.2</v>
      </c>
      <c r="L50" s="3">
        <v>0.3</v>
      </c>
      <c r="M50" s="3">
        <v>16.899999999999999</v>
      </c>
      <c r="N50" s="4">
        <v>77070</v>
      </c>
      <c r="O50" s="4" t="str" cm="1">
        <f t="array" ref="O50">_xlfn.IFS(N50&lt;45000,"Under 45K",N50&lt;75000,"45K - 75K",N50&lt;100000,"75K - 100K",N50&gt;=100000,"Over 100K")</f>
        <v>75K - 100K</v>
      </c>
      <c r="P50" s="2" t="s">
        <v>23</v>
      </c>
    </row>
    <row r="51" spans="1:16">
      <c r="A51" s="2" t="s">
        <v>122</v>
      </c>
      <c r="B51" s="2" t="s">
        <v>123</v>
      </c>
      <c r="C51" s="2" t="s">
        <v>101</v>
      </c>
      <c r="D51" s="2" t="s">
        <v>19</v>
      </c>
      <c r="E51" s="2">
        <v>1.3668199999999999</v>
      </c>
      <c r="F51" s="3">
        <v>57.6</v>
      </c>
      <c r="G51" s="3">
        <v>56.5</v>
      </c>
      <c r="H51" s="3">
        <v>0</v>
      </c>
      <c r="I51" s="3">
        <v>0</v>
      </c>
      <c r="J51" s="3">
        <v>-1</v>
      </c>
      <c r="K51" s="3">
        <v>-1.8</v>
      </c>
      <c r="L51" s="3" t="s">
        <v>30</v>
      </c>
      <c r="M51" s="3">
        <v>4.3</v>
      </c>
      <c r="N51" s="4">
        <v>59740</v>
      </c>
      <c r="O51" s="4" t="str" cm="1">
        <f t="array" ref="O51">_xlfn.IFS(N51&lt;45000,"Under 45K",N51&lt;75000,"45K - 75K",N51&lt;100000,"75K - 100K",N51&gt;=100000,"Over 100K")</f>
        <v>45K - 75K</v>
      </c>
      <c r="P51" s="2" t="s">
        <v>23</v>
      </c>
    </row>
    <row r="52" spans="1:16">
      <c r="A52" s="2" t="s">
        <v>124</v>
      </c>
      <c r="B52" s="2" t="s">
        <v>125</v>
      </c>
      <c r="C52" s="2" t="s">
        <v>101</v>
      </c>
      <c r="D52" s="2" t="s">
        <v>19</v>
      </c>
      <c r="E52" s="2">
        <v>1.361362</v>
      </c>
      <c r="F52" s="3">
        <v>137.1</v>
      </c>
      <c r="G52" s="3">
        <v>141.4</v>
      </c>
      <c r="H52" s="3">
        <v>0.1</v>
      </c>
      <c r="I52" s="3">
        <v>0.1</v>
      </c>
      <c r="J52" s="3">
        <v>4.3</v>
      </c>
      <c r="K52" s="3">
        <v>3.1</v>
      </c>
      <c r="L52" s="3">
        <v>2.9</v>
      </c>
      <c r="M52" s="3">
        <v>10.3</v>
      </c>
      <c r="N52" s="4">
        <v>80190</v>
      </c>
      <c r="O52" s="4" t="str" cm="1">
        <f t="array" ref="O52">_xlfn.IFS(N52&lt;45000,"Under 45K",N52&lt;75000,"45K - 75K",N52&lt;100000,"75K - 100K",N52&gt;=100000,"Over 100K")</f>
        <v>75K - 100K</v>
      </c>
      <c r="P52" s="2" t="s">
        <v>23</v>
      </c>
    </row>
    <row r="53" spans="1:16">
      <c r="A53" s="2" t="s">
        <v>126</v>
      </c>
      <c r="B53" s="2" t="s">
        <v>127</v>
      </c>
      <c r="C53" s="2" t="s">
        <v>101</v>
      </c>
      <c r="D53" s="2" t="s">
        <v>19</v>
      </c>
      <c r="E53" s="2">
        <v>1.36005</v>
      </c>
      <c r="F53" s="3">
        <v>944.3</v>
      </c>
      <c r="G53" s="3">
        <v>1002.7</v>
      </c>
      <c r="H53" s="3">
        <v>0.6</v>
      </c>
      <c r="I53" s="3">
        <v>0.6</v>
      </c>
      <c r="J53" s="3">
        <v>58.4</v>
      </c>
      <c r="K53" s="3">
        <v>6.2</v>
      </c>
      <c r="L53" s="3">
        <v>0.5</v>
      </c>
      <c r="M53" s="3">
        <v>81.8</v>
      </c>
      <c r="N53" s="4">
        <v>72910</v>
      </c>
      <c r="O53" s="4" t="str" cm="1">
        <f t="array" ref="O53">_xlfn.IFS(N53&lt;45000,"Under 45K",N53&lt;75000,"45K - 75K",N53&lt;100000,"75K - 100K",N53&gt;=100000,"Over 100K")</f>
        <v>45K - 75K</v>
      </c>
      <c r="P53" s="2" t="s">
        <v>23</v>
      </c>
    </row>
    <row r="54" spans="1:16">
      <c r="A54" s="2" t="s">
        <v>128</v>
      </c>
      <c r="B54" s="2" t="s">
        <v>129</v>
      </c>
      <c r="C54" s="2" t="s">
        <v>101</v>
      </c>
      <c r="D54" s="2" t="s">
        <v>19</v>
      </c>
      <c r="E54" s="2">
        <v>1.3452679999999999</v>
      </c>
      <c r="F54" s="3">
        <v>67.8</v>
      </c>
      <c r="G54" s="3">
        <v>64.8</v>
      </c>
      <c r="H54" s="3">
        <v>0</v>
      </c>
      <c r="I54" s="3">
        <v>0</v>
      </c>
      <c r="J54" s="3">
        <v>-3</v>
      </c>
      <c r="K54" s="3">
        <v>-4.4000000000000004</v>
      </c>
      <c r="L54" s="3" t="s">
        <v>30</v>
      </c>
      <c r="M54" s="3">
        <v>3.7</v>
      </c>
      <c r="N54" s="4">
        <v>80970</v>
      </c>
      <c r="O54" s="4" t="str" cm="1">
        <f t="array" ref="O54">_xlfn.IFS(N54&lt;45000,"Under 45K",N54&lt;75000,"45K - 75K",N54&lt;100000,"75K - 100K",N54&gt;=100000,"Over 100K")</f>
        <v>75K - 100K</v>
      </c>
      <c r="P54" s="2" t="s">
        <v>23</v>
      </c>
    </row>
    <row r="55" spans="1:16">
      <c r="A55" s="2" t="s">
        <v>130</v>
      </c>
      <c r="B55" s="2" t="s">
        <v>131</v>
      </c>
      <c r="C55" s="2" t="s">
        <v>101</v>
      </c>
      <c r="D55" s="2" t="s">
        <v>19</v>
      </c>
      <c r="E55" s="2">
        <v>1.3348340000000001</v>
      </c>
      <c r="F55" s="3">
        <v>65.400000000000006</v>
      </c>
      <c r="G55" s="3">
        <v>65.400000000000006</v>
      </c>
      <c r="H55" s="3">
        <v>0</v>
      </c>
      <c r="I55" s="3">
        <v>0</v>
      </c>
      <c r="J55" s="3">
        <v>-0.1</v>
      </c>
      <c r="K55" s="3">
        <v>-0.1</v>
      </c>
      <c r="L55" s="3">
        <v>0.5</v>
      </c>
      <c r="M55" s="3">
        <v>5.0999999999999996</v>
      </c>
      <c r="N55" s="4">
        <v>93500</v>
      </c>
      <c r="O55" s="4" t="str" cm="1">
        <f t="array" ref="O55">_xlfn.IFS(N55&lt;45000,"Under 45K",N55&lt;75000,"45K - 75K",N55&lt;100000,"75K - 100K",N55&gt;=100000,"Over 100K")</f>
        <v>75K - 100K</v>
      </c>
      <c r="P55" s="2" t="s">
        <v>23</v>
      </c>
    </row>
    <row r="56" spans="1:16">
      <c r="A56" s="2" t="s">
        <v>132</v>
      </c>
      <c r="B56" s="2" t="s">
        <v>133</v>
      </c>
      <c r="C56" s="2" t="s">
        <v>101</v>
      </c>
      <c r="D56" s="2" t="s">
        <v>19</v>
      </c>
      <c r="E56" s="2">
        <v>1.3266519999999999</v>
      </c>
      <c r="F56" s="3">
        <v>127</v>
      </c>
      <c r="G56" s="3">
        <v>123.7</v>
      </c>
      <c r="H56" s="3">
        <v>0.1</v>
      </c>
      <c r="I56" s="3">
        <v>0.1</v>
      </c>
      <c r="J56" s="3">
        <v>-3.3</v>
      </c>
      <c r="K56" s="3">
        <v>-2.6</v>
      </c>
      <c r="L56" s="3" t="s">
        <v>30</v>
      </c>
      <c r="M56" s="3">
        <v>8.1999999999999993</v>
      </c>
      <c r="N56" s="4">
        <v>79880</v>
      </c>
      <c r="O56" s="4" t="str" cm="1">
        <f t="array" ref="O56">_xlfn.IFS(N56&lt;45000,"Under 45K",N56&lt;75000,"45K - 75K",N56&lt;100000,"75K - 100K",N56&gt;=100000,"Over 100K")</f>
        <v>75K - 100K</v>
      </c>
      <c r="P56" s="2" t="s">
        <v>23</v>
      </c>
    </row>
    <row r="57" spans="1:16">
      <c r="A57" s="2" t="s">
        <v>134</v>
      </c>
      <c r="B57" s="2" t="s">
        <v>135</v>
      </c>
      <c r="C57" s="2" t="s">
        <v>101</v>
      </c>
      <c r="D57" s="2" t="s">
        <v>19</v>
      </c>
      <c r="E57" s="2">
        <v>1.2973030000000001</v>
      </c>
      <c r="F57" s="3">
        <v>241</v>
      </c>
      <c r="G57" s="3">
        <v>281.3</v>
      </c>
      <c r="H57" s="3">
        <v>0.1</v>
      </c>
      <c r="I57" s="3">
        <v>0.2</v>
      </c>
      <c r="J57" s="3">
        <v>40.299999999999997</v>
      </c>
      <c r="K57" s="3">
        <v>16.7</v>
      </c>
      <c r="L57" s="3">
        <v>0.3</v>
      </c>
      <c r="M57" s="3">
        <v>26.4</v>
      </c>
      <c r="N57" s="4">
        <v>80880</v>
      </c>
      <c r="O57" s="4" t="str" cm="1">
        <f t="array" ref="O57">_xlfn.IFS(N57&lt;45000,"Under 45K",N57&lt;75000,"45K - 75K",N57&lt;100000,"75K - 100K",N57&gt;=100000,"Over 100K")</f>
        <v>75K - 100K</v>
      </c>
      <c r="P57" s="2" t="s">
        <v>23</v>
      </c>
    </row>
    <row r="58" spans="1:16">
      <c r="A58" s="2" t="s">
        <v>136</v>
      </c>
      <c r="B58" s="2" t="s">
        <v>137</v>
      </c>
      <c r="C58" s="2" t="s">
        <v>101</v>
      </c>
      <c r="D58" s="2" t="s">
        <v>19</v>
      </c>
      <c r="E58" s="2">
        <v>1.2937099999999999</v>
      </c>
      <c r="F58" s="3">
        <v>90.6</v>
      </c>
      <c r="G58" s="3">
        <v>94.7</v>
      </c>
      <c r="H58" s="3">
        <v>0.1</v>
      </c>
      <c r="I58" s="3">
        <v>0.1</v>
      </c>
      <c r="J58" s="3">
        <v>4.0999999999999996</v>
      </c>
      <c r="K58" s="3">
        <v>4.5</v>
      </c>
      <c r="L58" s="3">
        <v>15.5</v>
      </c>
      <c r="M58" s="3">
        <v>10.4</v>
      </c>
      <c r="N58" s="4">
        <v>50560</v>
      </c>
      <c r="O58" s="4" t="str" cm="1">
        <f t="array" ref="O58">_xlfn.IFS(N58&lt;45000,"Under 45K",N58&lt;75000,"45K - 75K",N58&lt;100000,"75K - 100K",N58&gt;=100000,"Over 100K")</f>
        <v>45K - 75K</v>
      </c>
      <c r="P58" s="2" t="s">
        <v>47</v>
      </c>
    </row>
    <row r="59" spans="1:16">
      <c r="A59" s="2" t="s">
        <v>138</v>
      </c>
      <c r="B59" s="2" t="s">
        <v>139</v>
      </c>
      <c r="C59" s="2" t="s">
        <v>101</v>
      </c>
      <c r="D59" s="2" t="s">
        <v>19</v>
      </c>
      <c r="E59" s="2">
        <v>1.274024</v>
      </c>
      <c r="F59" s="3">
        <v>356.1</v>
      </c>
      <c r="G59" s="3">
        <v>337.9</v>
      </c>
      <c r="H59" s="3">
        <v>0.2</v>
      </c>
      <c r="I59" s="3">
        <v>0.2</v>
      </c>
      <c r="J59" s="3">
        <v>-18.2</v>
      </c>
      <c r="K59" s="3">
        <v>-5.0999999999999996</v>
      </c>
      <c r="L59" s="3">
        <v>2.2000000000000002</v>
      </c>
      <c r="M59" s="3">
        <v>21.1</v>
      </c>
      <c r="N59" s="4">
        <v>76790</v>
      </c>
      <c r="O59" s="4" t="str" cm="1">
        <f t="array" ref="O59">_xlfn.IFS(N59&lt;45000,"Under 45K",N59&lt;75000,"45K - 75K",N59&lt;100000,"75K - 100K",N59&gt;=100000,"Over 100K")</f>
        <v>75K - 100K</v>
      </c>
      <c r="P59" s="2" t="s">
        <v>47</v>
      </c>
    </row>
    <row r="60" spans="1:16">
      <c r="A60" s="2" t="s">
        <v>140</v>
      </c>
      <c r="B60" s="2" t="s">
        <v>141</v>
      </c>
      <c r="C60" s="2" t="s">
        <v>101</v>
      </c>
      <c r="D60" s="2" t="s">
        <v>19</v>
      </c>
      <c r="E60" s="2">
        <v>1.242567</v>
      </c>
      <c r="F60" s="3">
        <v>134.4</v>
      </c>
      <c r="G60" s="3">
        <v>140.19999999999999</v>
      </c>
      <c r="H60" s="3">
        <v>0.1</v>
      </c>
      <c r="I60" s="3">
        <v>0.1</v>
      </c>
      <c r="J60" s="3">
        <v>5.8</v>
      </c>
      <c r="K60" s="3">
        <v>4.3</v>
      </c>
      <c r="L60" s="3">
        <v>1.9</v>
      </c>
      <c r="M60" s="3">
        <v>10.199999999999999</v>
      </c>
      <c r="N60" s="4">
        <v>66490</v>
      </c>
      <c r="O60" s="4" t="str" cm="1">
        <f t="array" ref="O60">_xlfn.IFS(N60&lt;45000,"Under 45K",N60&lt;75000,"45K - 75K",N60&lt;100000,"75K - 100K",N60&gt;=100000,"Over 100K")</f>
        <v>45K - 75K</v>
      </c>
      <c r="P60" s="2" t="s">
        <v>23</v>
      </c>
    </row>
    <row r="61" spans="1:16">
      <c r="A61" s="2" t="s">
        <v>142</v>
      </c>
      <c r="B61" s="2" t="s">
        <v>143</v>
      </c>
      <c r="C61" s="2" t="s">
        <v>101</v>
      </c>
      <c r="D61" s="2" t="s">
        <v>19</v>
      </c>
      <c r="E61" s="2">
        <v>1.1984090000000001</v>
      </c>
      <c r="F61" s="3">
        <v>452.3</v>
      </c>
      <c r="G61" s="3">
        <v>501</v>
      </c>
      <c r="H61" s="3">
        <v>0.3</v>
      </c>
      <c r="I61" s="3">
        <v>0.3</v>
      </c>
      <c r="J61" s="3">
        <v>48.7</v>
      </c>
      <c r="K61" s="3">
        <v>10.8</v>
      </c>
      <c r="L61" s="3">
        <v>0.5</v>
      </c>
      <c r="M61" s="3">
        <v>43.9</v>
      </c>
      <c r="N61" s="4">
        <v>65850</v>
      </c>
      <c r="O61" s="4" t="str" cm="1">
        <f t="array" ref="O61">_xlfn.IFS(N61&lt;45000,"Under 45K",N61&lt;75000,"45K - 75K",N61&lt;100000,"75K - 100K",N61&gt;=100000,"Over 100K")</f>
        <v>45K - 75K</v>
      </c>
      <c r="P61" s="2" t="s">
        <v>23</v>
      </c>
    </row>
    <row r="62" spans="1:16">
      <c r="A62" s="2" t="s">
        <v>144</v>
      </c>
      <c r="B62" s="2" t="s">
        <v>145</v>
      </c>
      <c r="C62" s="2" t="s">
        <v>101</v>
      </c>
      <c r="D62" s="2" t="s">
        <v>19</v>
      </c>
      <c r="E62" s="2">
        <v>1.068559</v>
      </c>
      <c r="F62" s="3">
        <v>21.4</v>
      </c>
      <c r="G62" s="3">
        <v>23.2</v>
      </c>
      <c r="H62" s="3">
        <v>0</v>
      </c>
      <c r="I62" s="3">
        <v>0</v>
      </c>
      <c r="J62" s="3">
        <v>1.9</v>
      </c>
      <c r="K62" s="3">
        <v>8.6999999999999993</v>
      </c>
      <c r="L62" s="3">
        <v>26.1</v>
      </c>
      <c r="M62" s="3">
        <v>2.2000000000000002</v>
      </c>
      <c r="N62" s="4">
        <v>96310</v>
      </c>
      <c r="O62" s="4" t="str" cm="1">
        <f t="array" ref="O62">_xlfn.IFS(N62&lt;45000,"Under 45K",N62&lt;75000,"45K - 75K",N62&lt;100000,"75K - 100K",N62&gt;=100000,"Over 100K")</f>
        <v>75K - 100K</v>
      </c>
      <c r="P62" s="2" t="s">
        <v>23</v>
      </c>
    </row>
    <row r="63" spans="1:16">
      <c r="A63" s="2" t="s">
        <v>146</v>
      </c>
      <c r="B63" s="2" t="s">
        <v>147</v>
      </c>
      <c r="C63" s="2" t="s">
        <v>101</v>
      </c>
      <c r="D63" s="2" t="s">
        <v>19</v>
      </c>
      <c r="E63" s="2">
        <v>1.047687</v>
      </c>
      <c r="F63" s="3">
        <v>1205.7</v>
      </c>
      <c r="G63" s="3">
        <v>1242</v>
      </c>
      <c r="H63" s="3">
        <v>0.7</v>
      </c>
      <c r="I63" s="3">
        <v>0.7</v>
      </c>
      <c r="J63" s="3">
        <v>36.299999999999997</v>
      </c>
      <c r="K63" s="3">
        <v>3</v>
      </c>
      <c r="L63" s="3">
        <v>1.4</v>
      </c>
      <c r="M63" s="3">
        <v>108.2</v>
      </c>
      <c r="N63" s="4">
        <v>81270</v>
      </c>
      <c r="O63" s="4" t="str" cm="1">
        <f t="array" ref="O63">_xlfn.IFS(N63&lt;45000,"Under 45K",N63&lt;75000,"45K - 75K",N63&lt;100000,"75K - 100K",N63&gt;=100000,"Over 100K")</f>
        <v>75K - 100K</v>
      </c>
      <c r="P63" s="2" t="s">
        <v>23</v>
      </c>
    </row>
    <row r="64" spans="1:16">
      <c r="A64" s="2" t="s">
        <v>148</v>
      </c>
      <c r="B64" s="2" t="s">
        <v>149</v>
      </c>
      <c r="C64" s="2" t="s">
        <v>101</v>
      </c>
      <c r="D64" s="2" t="s">
        <v>19</v>
      </c>
      <c r="E64" s="2">
        <v>0.69812050000000003</v>
      </c>
      <c r="F64" s="3">
        <v>418</v>
      </c>
      <c r="G64" s="3">
        <v>430.3</v>
      </c>
      <c r="H64" s="3">
        <v>0.2</v>
      </c>
      <c r="I64" s="3">
        <v>0.2</v>
      </c>
      <c r="J64" s="3">
        <v>12.3</v>
      </c>
      <c r="K64" s="3">
        <v>3</v>
      </c>
      <c r="L64" s="3">
        <v>0.4</v>
      </c>
      <c r="M64" s="3">
        <v>33.299999999999997</v>
      </c>
      <c r="N64" s="4">
        <v>78420</v>
      </c>
      <c r="O64" s="4" t="str" cm="1">
        <f t="array" ref="O64">_xlfn.IFS(N64&lt;45000,"Under 45K",N64&lt;75000,"45K - 75K",N64&lt;100000,"75K - 100K",N64&gt;=100000,"Over 100K")</f>
        <v>75K - 100K</v>
      </c>
      <c r="P64" s="2" t="s">
        <v>23</v>
      </c>
    </row>
    <row r="65" spans="1:16">
      <c r="A65" s="2" t="s">
        <v>150</v>
      </c>
      <c r="B65" s="2" t="s">
        <v>151</v>
      </c>
      <c r="C65" s="2" t="s">
        <v>101</v>
      </c>
      <c r="D65" s="2" t="s">
        <v>19</v>
      </c>
      <c r="E65" s="2">
        <v>0.66349550000000002</v>
      </c>
      <c r="F65" s="3">
        <v>9.1999999999999993</v>
      </c>
      <c r="G65" s="3">
        <v>8.4</v>
      </c>
      <c r="H65" s="3">
        <v>0</v>
      </c>
      <c r="I65" s="3">
        <v>0</v>
      </c>
      <c r="J65" s="3">
        <v>-0.8</v>
      </c>
      <c r="K65" s="3">
        <v>-8.1999999999999993</v>
      </c>
      <c r="L65" s="3">
        <v>2.7</v>
      </c>
      <c r="M65" s="3">
        <v>0.5</v>
      </c>
      <c r="N65" s="4">
        <v>76650</v>
      </c>
      <c r="O65" s="4" t="str" cm="1">
        <f t="array" ref="O65">_xlfn.IFS(N65&lt;45000,"Under 45K",N65&lt;75000,"45K - 75K",N65&lt;100000,"75K - 100K",N65&gt;=100000,"Over 100K")</f>
        <v>75K - 100K</v>
      </c>
      <c r="P65" s="2" t="s">
        <v>152</v>
      </c>
    </row>
    <row r="66" spans="1:16">
      <c r="A66" s="2" t="s">
        <v>153</v>
      </c>
      <c r="B66" s="2" t="s">
        <v>154</v>
      </c>
      <c r="C66" s="2" t="s">
        <v>101</v>
      </c>
      <c r="D66" s="2" t="s">
        <v>19</v>
      </c>
      <c r="E66" s="2">
        <v>0.37402069999999998</v>
      </c>
      <c r="F66" s="3">
        <v>155.80000000000001</v>
      </c>
      <c r="G66" s="3">
        <v>163.30000000000001</v>
      </c>
      <c r="H66" s="3">
        <v>0.1</v>
      </c>
      <c r="I66" s="3">
        <v>0.1</v>
      </c>
      <c r="J66" s="3">
        <v>7.5</v>
      </c>
      <c r="K66" s="3">
        <v>4.8</v>
      </c>
      <c r="L66" s="3">
        <v>5.0999999999999996</v>
      </c>
      <c r="M66" s="3">
        <v>15.5</v>
      </c>
      <c r="N66" s="4">
        <v>59440</v>
      </c>
      <c r="O66" s="4" t="str" cm="1">
        <f t="array" ref="O66">_xlfn.IFS(N66&lt;45000,"Under 45K",N66&lt;75000,"45K - 75K",N66&lt;100000,"75K - 100K",N66&gt;=100000,"Over 100K")</f>
        <v>45K - 75K</v>
      </c>
      <c r="P66" s="2" t="s">
        <v>23</v>
      </c>
    </row>
    <row r="67" spans="1:16">
      <c r="A67" s="2" t="s">
        <v>155</v>
      </c>
      <c r="B67" s="2" t="s">
        <v>156</v>
      </c>
      <c r="C67" s="2" t="s">
        <v>101</v>
      </c>
      <c r="D67" s="2" t="s">
        <v>19</v>
      </c>
      <c r="E67" s="15">
        <v>0</v>
      </c>
      <c r="F67" s="3">
        <v>522.20000000000005</v>
      </c>
      <c r="G67" s="3">
        <v>552.29999999999995</v>
      </c>
      <c r="H67" s="3">
        <v>0.3</v>
      </c>
      <c r="I67" s="3">
        <v>0.3</v>
      </c>
      <c r="J67" s="3">
        <v>30.1</v>
      </c>
      <c r="K67" s="3">
        <v>5.8</v>
      </c>
      <c r="L67" s="3">
        <v>4.7</v>
      </c>
      <c r="M67" s="3">
        <v>52.2</v>
      </c>
      <c r="N67" s="4">
        <v>75650</v>
      </c>
      <c r="O67" s="4" t="str" cm="1">
        <f t="array" ref="O67">_xlfn.IFS(N67&lt;45000,"Under 45K",N67&lt;75000,"45K - 75K",N67&lt;100000,"75K - 100K",N67&gt;=100000,"Over 100K")</f>
        <v>75K - 100K</v>
      </c>
      <c r="P67" s="2" t="s">
        <v>23</v>
      </c>
    </row>
    <row r="68" spans="1:16">
      <c r="A68" s="2" t="s">
        <v>157</v>
      </c>
      <c r="B68" s="2" t="s">
        <v>158</v>
      </c>
      <c r="C68" s="2" t="s">
        <v>101</v>
      </c>
      <c r="D68" s="2" t="s">
        <v>19</v>
      </c>
      <c r="E68" s="15">
        <v>0</v>
      </c>
      <c r="F68" s="3">
        <v>1046.3</v>
      </c>
      <c r="G68" s="3">
        <v>1105</v>
      </c>
      <c r="H68" s="3">
        <v>0.6</v>
      </c>
      <c r="I68" s="3">
        <v>0.6</v>
      </c>
      <c r="J68" s="3">
        <v>58.7</v>
      </c>
      <c r="K68" s="3">
        <v>5.6</v>
      </c>
      <c r="L68" s="3">
        <v>1.8</v>
      </c>
      <c r="M68" s="3">
        <v>78.2</v>
      </c>
      <c r="N68" s="4">
        <v>100750</v>
      </c>
      <c r="O68" s="4" t="str" cm="1">
        <f t="array" ref="O68">_xlfn.IFS(N68&lt;45000,"Under 45K",N68&lt;75000,"45K - 75K",N68&lt;100000,"75K - 100K",N68&gt;=100000,"Over 100K")</f>
        <v>Over 100K</v>
      </c>
      <c r="P68" s="2" t="s">
        <v>23</v>
      </c>
    </row>
    <row r="69" spans="1:16">
      <c r="A69" s="2" t="s">
        <v>159</v>
      </c>
      <c r="B69" s="2" t="s">
        <v>160</v>
      </c>
      <c r="C69" s="2" t="s">
        <v>101</v>
      </c>
      <c r="D69" s="2" t="s">
        <v>19</v>
      </c>
      <c r="E69" s="15">
        <v>0</v>
      </c>
      <c r="F69" s="3">
        <v>77.3</v>
      </c>
      <c r="G69" s="3">
        <v>80.2</v>
      </c>
      <c r="H69" s="3">
        <v>0</v>
      </c>
      <c r="I69" s="3">
        <v>0</v>
      </c>
      <c r="J69" s="3">
        <v>2.9</v>
      </c>
      <c r="K69" s="3">
        <v>3.8</v>
      </c>
      <c r="L69" s="3">
        <v>21.1</v>
      </c>
      <c r="M69" s="3">
        <v>6.3</v>
      </c>
      <c r="N69" s="4">
        <v>65420</v>
      </c>
      <c r="O69" s="4" t="str" cm="1">
        <f t="array" ref="O69">_xlfn.IFS(N69&lt;45000,"Under 45K",N69&lt;75000,"45K - 75K",N69&lt;100000,"75K - 100K",N69&gt;=100000,"Over 100K")</f>
        <v>45K - 75K</v>
      </c>
      <c r="P69" s="2" t="s">
        <v>23</v>
      </c>
    </row>
    <row r="70" spans="1:16">
      <c r="A70" s="2" t="s">
        <v>161</v>
      </c>
      <c r="B70" s="2" t="s">
        <v>162</v>
      </c>
      <c r="C70" s="2" t="s">
        <v>101</v>
      </c>
      <c r="D70" s="2" t="s">
        <v>19</v>
      </c>
      <c r="E70" s="15">
        <v>0</v>
      </c>
      <c r="F70" s="3">
        <v>60.5</v>
      </c>
      <c r="G70" s="3">
        <v>64.400000000000006</v>
      </c>
      <c r="H70" s="3">
        <v>0</v>
      </c>
      <c r="I70" s="3">
        <v>0</v>
      </c>
      <c r="J70" s="3">
        <v>3.9</v>
      </c>
      <c r="K70" s="3">
        <v>6.5</v>
      </c>
      <c r="L70" s="3">
        <v>4</v>
      </c>
      <c r="M70" s="3">
        <v>4.8</v>
      </c>
      <c r="N70" s="4">
        <v>106000</v>
      </c>
      <c r="O70" s="4" t="str" cm="1">
        <f t="array" ref="O70">_xlfn.IFS(N70&lt;45000,"Under 45K",N70&lt;75000,"45K - 75K",N70&lt;100000,"75K - 100K",N70&gt;=100000,"Over 100K")</f>
        <v>Over 100K</v>
      </c>
      <c r="P70" s="2" t="s">
        <v>23</v>
      </c>
    </row>
    <row r="71" spans="1:16">
      <c r="A71" s="2" t="s">
        <v>163</v>
      </c>
      <c r="B71" s="2" t="s">
        <v>164</v>
      </c>
      <c r="C71" s="2" t="s">
        <v>101</v>
      </c>
      <c r="D71" s="2" t="s">
        <v>19</v>
      </c>
      <c r="E71" s="2">
        <v>-0.43540250000000003</v>
      </c>
      <c r="F71" s="3">
        <v>3.9</v>
      </c>
      <c r="G71" s="3">
        <v>4.2</v>
      </c>
      <c r="H71" s="3">
        <v>0</v>
      </c>
      <c r="I71" s="3">
        <v>0</v>
      </c>
      <c r="J71" s="3">
        <v>0.2</v>
      </c>
      <c r="K71" s="3">
        <v>6</v>
      </c>
      <c r="L71" s="3" t="s">
        <v>30</v>
      </c>
      <c r="M71" s="3">
        <v>0.3</v>
      </c>
      <c r="N71" s="4">
        <v>48690</v>
      </c>
      <c r="O71" s="4" t="str" cm="1">
        <f t="array" ref="O71">_xlfn.IFS(N71&lt;45000,"Under 45K",N71&lt;75000,"45K - 75K",N71&lt;100000,"75K - 100K",N71&gt;=100000,"Over 100K")</f>
        <v>45K - 75K</v>
      </c>
      <c r="P71" s="2" t="s">
        <v>165</v>
      </c>
    </row>
    <row r="72" spans="1:16">
      <c r="A72" s="2" t="s">
        <v>166</v>
      </c>
      <c r="B72" s="2" t="s">
        <v>167</v>
      </c>
      <c r="C72" s="2" t="s">
        <v>168</v>
      </c>
      <c r="D72" s="2" t="s">
        <v>19</v>
      </c>
      <c r="E72" s="2">
        <v>1.5164740000000001</v>
      </c>
      <c r="F72" s="3">
        <v>33.6</v>
      </c>
      <c r="G72" s="3">
        <v>40.9</v>
      </c>
      <c r="H72" s="3">
        <v>0</v>
      </c>
      <c r="I72" s="3">
        <v>0</v>
      </c>
      <c r="J72" s="3">
        <v>7.3</v>
      </c>
      <c r="K72" s="3">
        <v>21.8</v>
      </c>
      <c r="L72" s="3" t="s">
        <v>30</v>
      </c>
      <c r="M72" s="3">
        <v>2.4</v>
      </c>
      <c r="N72" s="4">
        <v>125770</v>
      </c>
      <c r="O72" s="4" t="str" cm="1">
        <f t="array" ref="O72">_xlfn.IFS(N72&lt;45000,"Under 45K",N72&lt;75000,"45K - 75K",N72&lt;100000,"75K - 100K",N72&gt;=100000,"Over 100K")</f>
        <v>Over 100K</v>
      </c>
      <c r="P72" s="2" t="s">
        <v>23</v>
      </c>
    </row>
    <row r="73" spans="1:16">
      <c r="A73" s="2" t="s">
        <v>169</v>
      </c>
      <c r="B73" s="2" t="s">
        <v>170</v>
      </c>
      <c r="C73" s="2" t="s">
        <v>168</v>
      </c>
      <c r="D73" s="2" t="s">
        <v>19</v>
      </c>
      <c r="E73" s="2">
        <v>1.4723189999999999</v>
      </c>
      <c r="F73" s="3">
        <v>2.4</v>
      </c>
      <c r="G73" s="3">
        <v>2.4</v>
      </c>
      <c r="H73" s="3">
        <v>0</v>
      </c>
      <c r="I73" s="3">
        <v>0</v>
      </c>
      <c r="J73" s="3">
        <v>0</v>
      </c>
      <c r="K73" s="3">
        <v>-0.7</v>
      </c>
      <c r="L73" s="3" t="s">
        <v>30</v>
      </c>
      <c r="M73" s="3">
        <v>0.1</v>
      </c>
      <c r="N73" s="4">
        <v>121680</v>
      </c>
      <c r="O73" s="4" t="str" cm="1">
        <f t="array" ref="O73">_xlfn.IFS(N73&lt;45000,"Under 45K",N73&lt;75000,"45K - 75K",N73&lt;100000,"75K - 100K",N73&gt;=100000,"Over 100K")</f>
        <v>Over 100K</v>
      </c>
      <c r="P73" s="2" t="s">
        <v>20</v>
      </c>
    </row>
    <row r="74" spans="1:16">
      <c r="A74" s="2" t="s">
        <v>171</v>
      </c>
      <c r="B74" s="2" t="s">
        <v>172</v>
      </c>
      <c r="C74" s="2" t="s">
        <v>168</v>
      </c>
      <c r="D74" s="2" t="s">
        <v>19</v>
      </c>
      <c r="E74" s="2">
        <v>1.40002</v>
      </c>
      <c r="F74" s="3">
        <v>112.1</v>
      </c>
      <c r="G74" s="3">
        <v>136.19999999999999</v>
      </c>
      <c r="H74" s="3">
        <v>0.1</v>
      </c>
      <c r="I74" s="3">
        <v>0.1</v>
      </c>
      <c r="J74" s="3">
        <v>24.1</v>
      </c>
      <c r="K74" s="3">
        <v>21.5</v>
      </c>
      <c r="L74" s="3" t="s">
        <v>30</v>
      </c>
      <c r="M74" s="3">
        <v>9.6</v>
      </c>
      <c r="N74" s="4">
        <v>91290</v>
      </c>
      <c r="O74" s="4" t="str" cm="1">
        <f t="array" ref="O74">_xlfn.IFS(N74&lt;45000,"Under 45K",N74&lt;75000,"45K - 75K",N74&lt;100000,"75K - 100K",N74&gt;=100000,"Over 100K")</f>
        <v>75K - 100K</v>
      </c>
      <c r="P74" s="2" t="s">
        <v>23</v>
      </c>
    </row>
    <row r="75" spans="1:16">
      <c r="A75" s="2" t="s">
        <v>173</v>
      </c>
      <c r="B75" s="2" t="s">
        <v>174</v>
      </c>
      <c r="C75" s="2" t="s">
        <v>168</v>
      </c>
      <c r="D75" s="2" t="s">
        <v>19</v>
      </c>
      <c r="E75" s="2">
        <v>1.3827240000000001</v>
      </c>
      <c r="F75" s="3">
        <v>32.200000000000003</v>
      </c>
      <c r="G75" s="3">
        <v>34.9</v>
      </c>
      <c r="H75" s="3">
        <v>0</v>
      </c>
      <c r="I75" s="3">
        <v>0</v>
      </c>
      <c r="J75" s="3">
        <v>2.7</v>
      </c>
      <c r="K75" s="3">
        <v>8.5</v>
      </c>
      <c r="L75" s="3">
        <v>1.3</v>
      </c>
      <c r="M75" s="3">
        <v>2</v>
      </c>
      <c r="N75" s="4">
        <v>103300</v>
      </c>
      <c r="O75" s="4" t="str" cm="1">
        <f t="array" ref="O75">_xlfn.IFS(N75&lt;45000,"Under 45K",N75&lt;75000,"45K - 75K",N75&lt;100000,"75K - 100K",N75&gt;=100000,"Over 100K")</f>
        <v>Over 100K</v>
      </c>
      <c r="P75" s="2" t="s">
        <v>20</v>
      </c>
    </row>
    <row r="76" spans="1:16">
      <c r="A76" s="2" t="s">
        <v>175</v>
      </c>
      <c r="B76" s="2" t="s">
        <v>176</v>
      </c>
      <c r="C76" s="2" t="s">
        <v>168</v>
      </c>
      <c r="D76" s="2" t="s">
        <v>19</v>
      </c>
      <c r="E76" s="15">
        <v>0</v>
      </c>
      <c r="F76" s="3">
        <v>521.1</v>
      </c>
      <c r="G76" s="3">
        <v>566.5</v>
      </c>
      <c r="H76" s="3">
        <v>0.3</v>
      </c>
      <c r="I76" s="3">
        <v>0.3</v>
      </c>
      <c r="J76" s="3">
        <v>45.5</v>
      </c>
      <c r="K76" s="3">
        <v>8.6999999999999993</v>
      </c>
      <c r="L76" s="3">
        <v>2.2000000000000002</v>
      </c>
      <c r="M76" s="3">
        <v>34.200000000000003</v>
      </c>
      <c r="N76" s="4">
        <v>103790</v>
      </c>
      <c r="O76" s="4" t="str" cm="1">
        <f t="array" ref="O76">_xlfn.IFS(N76&lt;45000,"Under 45K",N76&lt;75000,"45K - 75K",N76&lt;100000,"75K - 100K",N76&gt;=100000,"Over 100K")</f>
        <v>Over 100K</v>
      </c>
      <c r="P76" s="2" t="s">
        <v>23</v>
      </c>
    </row>
    <row r="77" spans="1:16">
      <c r="A77" s="2" t="s">
        <v>177</v>
      </c>
      <c r="B77" s="2" t="s">
        <v>178</v>
      </c>
      <c r="C77" s="2" t="s">
        <v>168</v>
      </c>
      <c r="D77" s="2" t="s">
        <v>19</v>
      </c>
      <c r="E77" s="15">
        <v>0</v>
      </c>
      <c r="F77" s="3">
        <v>182.8</v>
      </c>
      <c r="G77" s="3">
        <v>234.9</v>
      </c>
      <c r="H77" s="3">
        <v>0.1</v>
      </c>
      <c r="I77" s="3">
        <v>0.1</v>
      </c>
      <c r="J77" s="3">
        <v>52.1</v>
      </c>
      <c r="K77" s="3">
        <v>28.5</v>
      </c>
      <c r="L77" s="3">
        <v>0.6</v>
      </c>
      <c r="M77" s="3">
        <v>16</v>
      </c>
      <c r="N77" s="4">
        <v>124910</v>
      </c>
      <c r="O77" s="4" t="str" cm="1">
        <f t="array" ref="O77">_xlfn.IFS(N77&lt;45000,"Under 45K",N77&lt;75000,"45K - 75K",N77&lt;100000,"75K - 100K",N77&gt;=100000,"Over 100K")</f>
        <v>Over 100K</v>
      </c>
      <c r="P77" s="2" t="s">
        <v>23</v>
      </c>
    </row>
    <row r="78" spans="1:16">
      <c r="A78" s="2" t="s">
        <v>179</v>
      </c>
      <c r="B78" s="2" t="s">
        <v>180</v>
      </c>
      <c r="C78" s="2" t="s">
        <v>168</v>
      </c>
      <c r="D78" s="2" t="s">
        <v>19</v>
      </c>
      <c r="E78" s="15">
        <v>0</v>
      </c>
      <c r="F78" s="3">
        <v>40.299999999999997</v>
      </c>
      <c r="G78" s="3">
        <v>48.3</v>
      </c>
      <c r="H78" s="3">
        <v>0</v>
      </c>
      <c r="I78" s="3">
        <v>0</v>
      </c>
      <c r="J78" s="3">
        <v>7.9</v>
      </c>
      <c r="K78" s="3">
        <v>19.7</v>
      </c>
      <c r="L78" s="3">
        <v>0.9</v>
      </c>
      <c r="M78" s="3">
        <v>3.2</v>
      </c>
      <c r="N78" s="4">
        <v>140910</v>
      </c>
      <c r="O78" s="4" t="str" cm="1">
        <f t="array" ref="O78">_xlfn.IFS(N78&lt;45000,"Under 45K",N78&lt;75000,"45K - 75K",N78&lt;100000,"75K - 100K",N78&gt;=100000,"Over 100K")</f>
        <v>Over 100K</v>
      </c>
      <c r="P78" s="2" t="s">
        <v>20</v>
      </c>
    </row>
    <row r="79" spans="1:16">
      <c r="A79" s="2" t="s">
        <v>181</v>
      </c>
      <c r="B79" s="2" t="s">
        <v>182</v>
      </c>
      <c r="C79" s="2" t="s">
        <v>168</v>
      </c>
      <c r="D79" s="2" t="s">
        <v>19</v>
      </c>
      <c r="E79" s="15">
        <v>0</v>
      </c>
      <c r="F79" s="3">
        <v>152.69999999999999</v>
      </c>
      <c r="G79" s="3">
        <v>155.5</v>
      </c>
      <c r="H79" s="3">
        <v>0.1</v>
      </c>
      <c r="I79" s="3">
        <v>0.1</v>
      </c>
      <c r="J79" s="3">
        <v>2.8</v>
      </c>
      <c r="K79" s="3">
        <v>1.8</v>
      </c>
      <c r="L79" s="3">
        <v>2</v>
      </c>
      <c r="M79" s="3">
        <v>9.6</v>
      </c>
      <c r="N79" s="4">
        <v>73340</v>
      </c>
      <c r="O79" s="4" t="str" cm="1">
        <f t="array" ref="O79">_xlfn.IFS(N79&lt;45000,"Under 45K",N79&lt;75000,"45K - 75K",N79&lt;100000,"75K - 100K",N79&gt;=100000,"Over 100K")</f>
        <v>45K - 75K</v>
      </c>
      <c r="P79" s="2" t="s">
        <v>92</v>
      </c>
    </row>
    <row r="80" spans="1:16">
      <c r="A80" s="2" t="s">
        <v>183</v>
      </c>
      <c r="B80" s="2" t="s">
        <v>184</v>
      </c>
      <c r="C80" s="2" t="s">
        <v>168</v>
      </c>
      <c r="D80" s="2" t="s">
        <v>19</v>
      </c>
      <c r="E80" s="15">
        <v>0</v>
      </c>
      <c r="F80" s="3">
        <v>729.5</v>
      </c>
      <c r="G80" s="3">
        <v>702.5</v>
      </c>
      <c r="H80" s="3">
        <v>0.4</v>
      </c>
      <c r="I80" s="3">
        <v>0.4</v>
      </c>
      <c r="J80" s="3">
        <v>-27</v>
      </c>
      <c r="K80" s="3">
        <v>-3.7</v>
      </c>
      <c r="L80" s="3">
        <v>2</v>
      </c>
      <c r="M80" s="3">
        <v>40.799999999999997</v>
      </c>
      <c r="N80" s="4">
        <v>60340</v>
      </c>
      <c r="O80" s="4" t="str" cm="1">
        <f t="array" ref="O80">_xlfn.IFS(N80&lt;45000,"Under 45K",N80&lt;75000,"45K - 75K",N80&lt;100000,"75K - 100K",N80&gt;=100000,"Over 100K")</f>
        <v>45K - 75K</v>
      </c>
      <c r="P80" s="2" t="s">
        <v>185</v>
      </c>
    </row>
    <row r="81" spans="1:16">
      <c r="A81" s="2" t="s">
        <v>186</v>
      </c>
      <c r="B81" s="2" t="s">
        <v>187</v>
      </c>
      <c r="C81" s="2" t="s">
        <v>168</v>
      </c>
      <c r="D81" s="2" t="s">
        <v>19</v>
      </c>
      <c r="E81" s="15">
        <v>0</v>
      </c>
      <c r="F81" s="3">
        <v>179.2</v>
      </c>
      <c r="G81" s="3">
        <v>200.6</v>
      </c>
      <c r="H81" s="3">
        <v>0.1</v>
      </c>
      <c r="I81" s="3">
        <v>0.1</v>
      </c>
      <c r="J81" s="3">
        <v>21.4</v>
      </c>
      <c r="K81" s="3">
        <v>11.9</v>
      </c>
      <c r="L81" s="3">
        <v>0.4</v>
      </c>
      <c r="M81" s="3">
        <v>11.2</v>
      </c>
      <c r="N81" s="4">
        <v>130390</v>
      </c>
      <c r="O81" s="4" t="str" cm="1">
        <f t="array" ref="O81">_xlfn.IFS(N81&lt;45000,"Under 45K",N81&lt;75000,"45K - 75K",N81&lt;100000,"75K - 100K",N81&gt;=100000,"Over 100K")</f>
        <v>Over 100K</v>
      </c>
      <c r="P81" s="2" t="s">
        <v>23</v>
      </c>
    </row>
    <row r="82" spans="1:16">
      <c r="A82" s="2" t="s">
        <v>188</v>
      </c>
      <c r="B82" s="2" t="s">
        <v>189</v>
      </c>
      <c r="C82" s="2" t="s">
        <v>168</v>
      </c>
      <c r="D82" s="2" t="s">
        <v>19</v>
      </c>
      <c r="E82" s="15">
        <v>0</v>
      </c>
      <c r="F82" s="3">
        <v>78</v>
      </c>
      <c r="G82" s="3">
        <v>77.5</v>
      </c>
      <c r="H82" s="3">
        <v>0</v>
      </c>
      <c r="I82" s="3">
        <v>0</v>
      </c>
      <c r="J82" s="3">
        <v>-0.5</v>
      </c>
      <c r="K82" s="3">
        <v>-0.7</v>
      </c>
      <c r="L82" s="3">
        <v>1.2</v>
      </c>
      <c r="M82" s="3">
        <v>3.8</v>
      </c>
      <c r="N82" s="4">
        <v>104620</v>
      </c>
      <c r="O82" s="4" t="str" cm="1">
        <f t="array" ref="O82">_xlfn.IFS(N82&lt;45000,"Under 45K",N82&lt;75000,"45K - 75K",N82&lt;100000,"75K - 100K",N82&gt;=100000,"Over 100K")</f>
        <v>Over 100K</v>
      </c>
      <c r="P82" s="2" t="s">
        <v>23</v>
      </c>
    </row>
    <row r="83" spans="1:16">
      <c r="A83" s="2" t="s">
        <v>190</v>
      </c>
      <c r="B83" s="2" t="s">
        <v>191</v>
      </c>
      <c r="C83" s="2" t="s">
        <v>168</v>
      </c>
      <c r="D83" s="2" t="s">
        <v>19</v>
      </c>
      <c r="E83" s="15">
        <v>0</v>
      </c>
      <c r="F83" s="3">
        <v>66.900000000000006</v>
      </c>
      <c r="G83" s="3">
        <v>72.7</v>
      </c>
      <c r="H83" s="3">
        <v>0</v>
      </c>
      <c r="I83" s="3">
        <v>0</v>
      </c>
      <c r="J83" s="3">
        <v>5.8</v>
      </c>
      <c r="K83" s="3">
        <v>8.6999999999999993</v>
      </c>
      <c r="L83" s="3">
        <v>1.4</v>
      </c>
      <c r="M83" s="3">
        <v>4</v>
      </c>
      <c r="N83" s="4">
        <v>135980</v>
      </c>
      <c r="O83" s="4" t="str" cm="1">
        <f t="array" ref="O83">_xlfn.IFS(N83&lt;45000,"Under 45K",N83&lt;75000,"45K - 75K",N83&lt;100000,"75K - 100K",N83&gt;=100000,"Over 100K")</f>
        <v>Over 100K</v>
      </c>
      <c r="P83" s="2" t="s">
        <v>23</v>
      </c>
    </row>
    <row r="84" spans="1:16">
      <c r="A84" s="2" t="s">
        <v>192</v>
      </c>
      <c r="B84" s="2" t="s">
        <v>193</v>
      </c>
      <c r="C84" s="2" t="s">
        <v>168</v>
      </c>
      <c r="D84" s="2" t="s">
        <v>19</v>
      </c>
      <c r="E84" s="15">
        <v>0</v>
      </c>
      <c r="F84" s="3">
        <v>331.5</v>
      </c>
      <c r="G84" s="3">
        <v>317.7</v>
      </c>
      <c r="H84" s="3">
        <v>0.2</v>
      </c>
      <c r="I84" s="3">
        <v>0.2</v>
      </c>
      <c r="J84" s="3">
        <v>-13.8</v>
      </c>
      <c r="K84" s="3">
        <v>-4.2</v>
      </c>
      <c r="L84" s="3">
        <v>0.3</v>
      </c>
      <c r="M84" s="3">
        <v>14.3</v>
      </c>
      <c r="N84" s="4">
        <v>96800</v>
      </c>
      <c r="O84" s="4" t="str" cm="1">
        <f t="array" ref="O84">_xlfn.IFS(N84&lt;45000,"Under 45K",N84&lt;75000,"45K - 75K",N84&lt;100000,"75K - 100K",N84&gt;=100000,"Over 100K")</f>
        <v>75K - 100K</v>
      </c>
      <c r="P84" s="2" t="s">
        <v>23</v>
      </c>
    </row>
    <row r="85" spans="1:16">
      <c r="A85" s="2" t="s">
        <v>194</v>
      </c>
      <c r="B85" s="2" t="s">
        <v>195</v>
      </c>
      <c r="C85" s="2" t="s">
        <v>168</v>
      </c>
      <c r="D85" s="2" t="s">
        <v>19</v>
      </c>
      <c r="E85" s="15">
        <v>0</v>
      </c>
      <c r="F85" s="3">
        <v>121.2</v>
      </c>
      <c r="G85" s="3">
        <v>113.9</v>
      </c>
      <c r="H85" s="3">
        <v>0.1</v>
      </c>
      <c r="I85" s="3">
        <v>0.1</v>
      </c>
      <c r="J85" s="3">
        <v>-7.2</v>
      </c>
      <c r="K85" s="3">
        <v>-6</v>
      </c>
      <c r="L85" s="3">
        <v>6.2</v>
      </c>
      <c r="M85" s="3">
        <v>5.5</v>
      </c>
      <c r="N85" s="4">
        <v>98670</v>
      </c>
      <c r="O85" s="4" t="str" cm="1">
        <f t="array" ref="O85">_xlfn.IFS(N85&lt;45000,"Under 45K",N85&lt;75000,"45K - 75K",N85&lt;100000,"75K - 100K",N85&gt;=100000,"Over 100K")</f>
        <v>75K - 100K</v>
      </c>
      <c r="P85" s="2" t="s">
        <v>23</v>
      </c>
    </row>
    <row r="86" spans="1:16">
      <c r="A86" s="2" t="s">
        <v>196</v>
      </c>
      <c r="B86" s="2" t="s">
        <v>197</v>
      </c>
      <c r="C86" s="2" t="s">
        <v>168</v>
      </c>
      <c r="D86" s="2" t="s">
        <v>19</v>
      </c>
      <c r="E86" s="15">
        <v>0</v>
      </c>
      <c r="F86" s="3">
        <v>1693.8</v>
      </c>
      <c r="G86" s="3">
        <v>1961.4</v>
      </c>
      <c r="H86" s="3">
        <v>1</v>
      </c>
      <c r="I86" s="3">
        <v>1.1000000000000001</v>
      </c>
      <c r="J86" s="3">
        <v>267.7</v>
      </c>
      <c r="K86" s="3">
        <v>15.8</v>
      </c>
      <c r="L86" s="3">
        <v>1.6</v>
      </c>
      <c r="M86" s="3">
        <v>115.2</v>
      </c>
      <c r="N86" s="4">
        <v>133080</v>
      </c>
      <c r="O86" s="4" t="str" cm="1">
        <f t="array" ref="O86">_xlfn.IFS(N86&lt;45000,"Under 45K",N86&lt;75000,"45K - 75K",N86&lt;100000,"75K - 100K",N86&gt;=100000,"Over 100K")</f>
        <v>Over 100K</v>
      </c>
      <c r="P86" s="2" t="s">
        <v>23</v>
      </c>
    </row>
    <row r="87" spans="1:16">
      <c r="A87" s="2" t="s">
        <v>198</v>
      </c>
      <c r="B87" s="2" t="s">
        <v>199</v>
      </c>
      <c r="C87" s="2" t="s">
        <v>168</v>
      </c>
      <c r="D87" s="2" t="s">
        <v>19</v>
      </c>
      <c r="E87" s="15">
        <v>0</v>
      </c>
      <c r="F87" s="3">
        <v>201.7</v>
      </c>
      <c r="G87" s="3">
        <v>221.9</v>
      </c>
      <c r="H87" s="3">
        <v>0.1</v>
      </c>
      <c r="I87" s="3">
        <v>0.1</v>
      </c>
      <c r="J87" s="3">
        <v>20.2</v>
      </c>
      <c r="K87" s="3">
        <v>10</v>
      </c>
      <c r="L87" s="3">
        <v>0.1</v>
      </c>
      <c r="M87" s="3">
        <v>14</v>
      </c>
      <c r="N87" s="4">
        <v>102610</v>
      </c>
      <c r="O87" s="4" t="str" cm="1">
        <f t="array" ref="O87">_xlfn.IFS(N87&lt;45000,"Under 45K",N87&lt;75000,"45K - 75K",N87&lt;100000,"75K - 100K",N87&gt;=100000,"Over 100K")</f>
        <v>Over 100K</v>
      </c>
      <c r="P87" s="2" t="s">
        <v>23</v>
      </c>
    </row>
    <row r="88" spans="1:16">
      <c r="A88" s="2" t="s">
        <v>200</v>
      </c>
      <c r="B88" s="2" t="s">
        <v>201</v>
      </c>
      <c r="C88" s="2" t="s">
        <v>168</v>
      </c>
      <c r="D88" s="2" t="s">
        <v>19</v>
      </c>
      <c r="E88" s="15">
        <v>0</v>
      </c>
      <c r="F88" s="3">
        <v>86</v>
      </c>
      <c r="G88" s="3">
        <v>92.5</v>
      </c>
      <c r="H88" s="3">
        <v>0.1</v>
      </c>
      <c r="I88" s="3">
        <v>0.1</v>
      </c>
      <c r="J88" s="3">
        <v>6.5</v>
      </c>
      <c r="K88" s="3">
        <v>7.5</v>
      </c>
      <c r="L88" s="3">
        <v>5.3</v>
      </c>
      <c r="M88" s="3">
        <v>5.4</v>
      </c>
      <c r="N88" s="4">
        <v>90930</v>
      </c>
      <c r="O88" s="4" t="str" cm="1">
        <f t="array" ref="O88">_xlfn.IFS(N88&lt;45000,"Under 45K",N88&lt;75000,"45K - 75K",N88&lt;100000,"75K - 100K",N88&gt;=100000,"Over 100K")</f>
        <v>75K - 100K</v>
      </c>
      <c r="P88" s="2" t="s">
        <v>23</v>
      </c>
    </row>
    <row r="89" spans="1:16">
      <c r="A89" s="2" t="s">
        <v>202</v>
      </c>
      <c r="B89" s="2" t="s">
        <v>203</v>
      </c>
      <c r="C89" s="2" t="s">
        <v>168</v>
      </c>
      <c r="D89" s="2" t="s">
        <v>19</v>
      </c>
      <c r="E89" s="15">
        <v>0</v>
      </c>
      <c r="F89" s="3">
        <v>128.9</v>
      </c>
      <c r="G89" s="3">
        <v>137.9</v>
      </c>
      <c r="H89" s="3">
        <v>0.1</v>
      </c>
      <c r="I89" s="3">
        <v>0.1</v>
      </c>
      <c r="J89" s="3">
        <v>9</v>
      </c>
      <c r="K89" s="3">
        <v>7</v>
      </c>
      <c r="L89" s="3">
        <v>10.1</v>
      </c>
      <c r="M89" s="3">
        <v>9.1</v>
      </c>
      <c r="N89" s="4">
        <v>98090</v>
      </c>
      <c r="O89" s="4" t="str" cm="1">
        <f t="array" ref="O89">_xlfn.IFS(N89&lt;45000,"Under 45K",N89&lt;75000,"45K - 75K",N89&lt;100000,"75K - 100K",N89&gt;=100000,"Over 100K")</f>
        <v>75K - 100K</v>
      </c>
      <c r="P89" s="2" t="s">
        <v>23</v>
      </c>
    </row>
    <row r="90" spans="1:16">
      <c r="A90" s="2" t="s">
        <v>204</v>
      </c>
      <c r="B90" s="2" t="s">
        <v>205</v>
      </c>
      <c r="C90" s="2" t="s">
        <v>168</v>
      </c>
      <c r="D90" s="2" t="s">
        <v>19</v>
      </c>
      <c r="E90" s="15">
        <v>0</v>
      </c>
      <c r="F90" s="3">
        <v>472</v>
      </c>
      <c r="G90" s="3">
        <v>510.5</v>
      </c>
      <c r="H90" s="3">
        <v>0.3</v>
      </c>
      <c r="I90" s="3">
        <v>0.3</v>
      </c>
      <c r="J90" s="3">
        <v>38.5</v>
      </c>
      <c r="K90" s="3">
        <v>8.1999999999999993</v>
      </c>
      <c r="L90" s="3">
        <v>3.9</v>
      </c>
      <c r="M90" s="3">
        <v>31.3</v>
      </c>
      <c r="N90" s="4">
        <v>108970</v>
      </c>
      <c r="O90" s="4" t="str" cm="1">
        <f t="array" ref="O90">_xlfn.IFS(N90&lt;45000,"Under 45K",N90&lt;75000,"45K - 75K",N90&lt;100000,"75K - 100K",N90&gt;=100000,"Over 100K")</f>
        <v>Over 100K</v>
      </c>
      <c r="P90" s="2" t="s">
        <v>23</v>
      </c>
    </row>
    <row r="91" spans="1:16">
      <c r="A91" s="2" t="s">
        <v>206</v>
      </c>
      <c r="B91" s="2" t="s">
        <v>207</v>
      </c>
      <c r="C91" s="2" t="s">
        <v>168</v>
      </c>
      <c r="D91" s="2" t="s">
        <v>19</v>
      </c>
      <c r="E91" s="15">
        <v>0</v>
      </c>
      <c r="F91" s="3">
        <v>245.9</v>
      </c>
      <c r="G91" s="3">
        <v>328.3</v>
      </c>
      <c r="H91" s="3">
        <v>0.1</v>
      </c>
      <c r="I91" s="3">
        <v>0.2</v>
      </c>
      <c r="J91" s="3">
        <v>82.5</v>
      </c>
      <c r="K91" s="3">
        <v>33.5</v>
      </c>
      <c r="L91" s="3">
        <v>1.8</v>
      </c>
      <c r="M91" s="3">
        <v>23.4</v>
      </c>
      <c r="N91" s="4">
        <v>112590</v>
      </c>
      <c r="O91" s="4" t="str" cm="1">
        <f t="array" ref="O91">_xlfn.IFS(N91&lt;45000,"Under 45K",N91&lt;75000,"45K - 75K",N91&lt;100000,"75K - 100K",N91&gt;=100000,"Over 100K")</f>
        <v>Over 100K</v>
      </c>
      <c r="P91" s="2" t="s">
        <v>23</v>
      </c>
    </row>
    <row r="92" spans="1:16">
      <c r="A92" s="2" t="s">
        <v>208</v>
      </c>
      <c r="B92" s="2" t="s">
        <v>209</v>
      </c>
      <c r="C92" s="2" t="s">
        <v>168</v>
      </c>
      <c r="D92" s="2" t="s">
        <v>19</v>
      </c>
      <c r="E92" s="15">
        <v>0</v>
      </c>
      <c r="F92" s="3">
        <v>5</v>
      </c>
      <c r="G92" s="3">
        <v>5.2</v>
      </c>
      <c r="H92" s="3">
        <v>0</v>
      </c>
      <c r="I92" s="3">
        <v>0</v>
      </c>
      <c r="J92" s="3">
        <v>0.2</v>
      </c>
      <c r="K92" s="3">
        <v>4</v>
      </c>
      <c r="L92" s="3">
        <v>1.4</v>
      </c>
      <c r="M92" s="3">
        <v>0.3</v>
      </c>
      <c r="N92" s="4">
        <v>71490</v>
      </c>
      <c r="O92" s="4" t="str" cm="1">
        <f t="array" ref="O92">_xlfn.IFS(N92&lt;45000,"Under 45K",N92&lt;75000,"45K - 75K",N92&lt;100000,"75K - 100K",N92&gt;=100000,"Over 100K")</f>
        <v>45K - 75K</v>
      </c>
      <c r="P92" s="2" t="s">
        <v>23</v>
      </c>
    </row>
    <row r="93" spans="1:16">
      <c r="A93" s="2" t="s">
        <v>210</v>
      </c>
      <c r="B93" s="2" t="s">
        <v>211</v>
      </c>
      <c r="C93" s="2" t="s">
        <v>212</v>
      </c>
      <c r="D93" s="2" t="s">
        <v>19</v>
      </c>
      <c r="E93" s="2">
        <v>1.3469500000000001</v>
      </c>
      <c r="F93" s="3">
        <v>7</v>
      </c>
      <c r="G93" s="3">
        <v>7</v>
      </c>
      <c r="H93" s="3">
        <v>0</v>
      </c>
      <c r="I93" s="3">
        <v>0</v>
      </c>
      <c r="J93" s="3">
        <v>0</v>
      </c>
      <c r="K93" s="3">
        <v>0.7</v>
      </c>
      <c r="L93" s="3">
        <v>1.7</v>
      </c>
      <c r="M93" s="3">
        <v>0.4</v>
      </c>
      <c r="N93" s="4">
        <v>101020</v>
      </c>
      <c r="O93" s="4" t="str" cm="1">
        <f t="array" ref="O93">_xlfn.IFS(N93&lt;45000,"Under 45K",N93&lt;75000,"45K - 75K",N93&lt;100000,"75K - 100K",N93&gt;=100000,"Over 100K")</f>
        <v>Over 100K</v>
      </c>
      <c r="P93" s="2" t="s">
        <v>23</v>
      </c>
    </row>
    <row r="94" spans="1:16">
      <c r="A94" s="2" t="s">
        <v>213</v>
      </c>
      <c r="B94" s="2" t="s">
        <v>214</v>
      </c>
      <c r="C94" s="2" t="s">
        <v>212</v>
      </c>
      <c r="D94" s="2" t="s">
        <v>19</v>
      </c>
      <c r="E94" s="2">
        <v>1.343561</v>
      </c>
      <c r="F94" s="3">
        <v>39.4</v>
      </c>
      <c r="G94" s="3">
        <v>41</v>
      </c>
      <c r="H94" s="3">
        <v>0</v>
      </c>
      <c r="I94" s="3">
        <v>0</v>
      </c>
      <c r="J94" s="3">
        <v>1.5</v>
      </c>
      <c r="K94" s="3">
        <v>3.9</v>
      </c>
      <c r="L94" s="3">
        <v>1</v>
      </c>
      <c r="M94" s="3">
        <v>3</v>
      </c>
      <c r="N94" s="4">
        <v>104170</v>
      </c>
      <c r="O94" s="4" t="str" cm="1">
        <f t="array" ref="O94">_xlfn.IFS(N94&lt;45000,"Under 45K",N94&lt;75000,"45K - 75K",N94&lt;100000,"75K - 100K",N94&gt;=100000,"Over 100K")</f>
        <v>Over 100K</v>
      </c>
      <c r="P94" s="2" t="s">
        <v>23</v>
      </c>
    </row>
    <row r="95" spans="1:16">
      <c r="A95" s="2" t="s">
        <v>215</v>
      </c>
      <c r="B95" s="2" t="s">
        <v>216</v>
      </c>
      <c r="C95" s="2" t="s">
        <v>212</v>
      </c>
      <c r="D95" s="2" t="s">
        <v>19</v>
      </c>
      <c r="E95" s="2">
        <v>1.3413360000000001</v>
      </c>
      <c r="F95" s="3">
        <v>21.6</v>
      </c>
      <c r="G95" s="3">
        <v>22.1</v>
      </c>
      <c r="H95" s="3">
        <v>0</v>
      </c>
      <c r="I95" s="3">
        <v>0</v>
      </c>
      <c r="J95" s="3">
        <v>0.6</v>
      </c>
      <c r="K95" s="3">
        <v>2.6</v>
      </c>
      <c r="L95" s="3">
        <v>5.0999999999999996</v>
      </c>
      <c r="M95" s="3">
        <v>1.1000000000000001</v>
      </c>
      <c r="N95" s="4">
        <v>121860</v>
      </c>
      <c r="O95" s="4" t="str" cm="1">
        <f t="array" ref="O95">_xlfn.IFS(N95&lt;45000,"Under 45K",N95&lt;75000,"45K - 75K",N95&lt;100000,"75K - 100K",N95&gt;=100000,"Over 100K")</f>
        <v>Over 100K</v>
      </c>
      <c r="P95" s="2" t="s">
        <v>23</v>
      </c>
    </row>
    <row r="96" spans="1:16">
      <c r="A96" s="2" t="s">
        <v>217</v>
      </c>
      <c r="B96" s="2" t="s">
        <v>218</v>
      </c>
      <c r="C96" s="2" t="s">
        <v>212</v>
      </c>
      <c r="D96" s="2" t="s">
        <v>19</v>
      </c>
      <c r="E96" s="2">
        <v>1.338738</v>
      </c>
      <c r="F96" s="3">
        <v>71.599999999999994</v>
      </c>
      <c r="G96" s="3">
        <v>75.900000000000006</v>
      </c>
      <c r="H96" s="3">
        <v>0</v>
      </c>
      <c r="I96" s="3">
        <v>0</v>
      </c>
      <c r="J96" s="3">
        <v>4.4000000000000004</v>
      </c>
      <c r="K96" s="3">
        <v>6.1</v>
      </c>
      <c r="L96" s="3">
        <v>2.6</v>
      </c>
      <c r="M96" s="3">
        <v>4.5</v>
      </c>
      <c r="N96" s="4">
        <v>134830</v>
      </c>
      <c r="O96" s="4" t="str" cm="1">
        <f t="array" ref="O96">_xlfn.IFS(N96&lt;45000,"Under 45K",N96&lt;75000,"45K - 75K",N96&lt;100000,"75K - 100K",N96&gt;=100000,"Over 100K")</f>
        <v>Over 100K</v>
      </c>
      <c r="P96" s="2" t="s">
        <v>23</v>
      </c>
    </row>
    <row r="97" spans="1:16">
      <c r="A97" s="2" t="s">
        <v>219</v>
      </c>
      <c r="B97" s="2" t="s">
        <v>220</v>
      </c>
      <c r="C97" s="2" t="s">
        <v>212</v>
      </c>
      <c r="D97" s="2" t="s">
        <v>19</v>
      </c>
      <c r="E97" s="2">
        <v>1.3030090000000001</v>
      </c>
      <c r="F97" s="3">
        <v>15.4</v>
      </c>
      <c r="G97" s="3">
        <v>15.3</v>
      </c>
      <c r="H97" s="3">
        <v>0</v>
      </c>
      <c r="I97" s="3">
        <v>0</v>
      </c>
      <c r="J97" s="3">
        <v>-0.2</v>
      </c>
      <c r="K97" s="3">
        <v>-1.1000000000000001</v>
      </c>
      <c r="L97" s="3">
        <v>2.4</v>
      </c>
      <c r="M97" s="3">
        <v>0.8</v>
      </c>
      <c r="N97" s="4">
        <v>127520</v>
      </c>
      <c r="O97" s="4" t="str" cm="1">
        <f t="array" ref="O97">_xlfn.IFS(N97&lt;45000,"Under 45K",N97&lt;75000,"45K - 75K",N97&lt;100000,"75K - 100K",N97&gt;=100000,"Over 100K")</f>
        <v>Over 100K</v>
      </c>
      <c r="P97" s="2" t="s">
        <v>23</v>
      </c>
    </row>
    <row r="98" spans="1:16">
      <c r="A98" s="2" t="s">
        <v>221</v>
      </c>
      <c r="B98" s="2" t="s">
        <v>222</v>
      </c>
      <c r="C98" s="2" t="s">
        <v>212</v>
      </c>
      <c r="D98" s="2" t="s">
        <v>19</v>
      </c>
      <c r="E98" s="2">
        <v>1.282867</v>
      </c>
      <c r="F98" s="3">
        <v>368.9</v>
      </c>
      <c r="G98" s="3">
        <v>387.5</v>
      </c>
      <c r="H98" s="3">
        <v>0.2</v>
      </c>
      <c r="I98" s="3">
        <v>0.2</v>
      </c>
      <c r="J98" s="3">
        <v>18.5</v>
      </c>
      <c r="K98" s="3">
        <v>5</v>
      </c>
      <c r="L98" s="3">
        <v>1.3</v>
      </c>
      <c r="M98" s="3">
        <v>23.6</v>
      </c>
      <c r="N98" s="4">
        <v>99590</v>
      </c>
      <c r="O98" s="4" t="str" cm="1">
        <f t="array" ref="O98">_xlfn.IFS(N98&lt;45000,"Under 45K",N98&lt;75000,"45K - 75K",N98&lt;100000,"75K - 100K",N98&gt;=100000,"Over 100K")</f>
        <v>75K - 100K</v>
      </c>
      <c r="P98" s="2" t="s">
        <v>23</v>
      </c>
    </row>
    <row r="99" spans="1:16">
      <c r="A99" s="2" t="s">
        <v>223</v>
      </c>
      <c r="B99" s="2" t="s">
        <v>224</v>
      </c>
      <c r="C99" s="2" t="s">
        <v>212</v>
      </c>
      <c r="D99" s="2" t="s">
        <v>19</v>
      </c>
      <c r="E99" s="2">
        <v>1.247779</v>
      </c>
      <c r="F99" s="3">
        <v>19.600000000000001</v>
      </c>
      <c r="G99" s="3">
        <v>19.8</v>
      </c>
      <c r="H99" s="3">
        <v>0</v>
      </c>
      <c r="I99" s="3">
        <v>0</v>
      </c>
      <c r="J99" s="3">
        <v>0.2</v>
      </c>
      <c r="K99" s="3">
        <v>1.3</v>
      </c>
      <c r="L99" s="3">
        <v>1.7</v>
      </c>
      <c r="M99" s="3">
        <v>1.2</v>
      </c>
      <c r="N99" s="4">
        <v>141280</v>
      </c>
      <c r="O99" s="4" t="str" cm="1">
        <f t="array" ref="O99">_xlfn.IFS(N99&lt;45000,"Under 45K",N99&lt;75000,"45K - 75K",N99&lt;100000,"75K - 100K",N99&gt;=100000,"Over 100K")</f>
        <v>Over 100K</v>
      </c>
      <c r="P99" s="2" t="s">
        <v>23</v>
      </c>
    </row>
    <row r="100" spans="1:16">
      <c r="A100" s="2" t="s">
        <v>225</v>
      </c>
      <c r="B100" s="2" t="s">
        <v>226</v>
      </c>
      <c r="C100" s="2" t="s">
        <v>212</v>
      </c>
      <c r="D100" s="2" t="s">
        <v>19</v>
      </c>
      <c r="E100" s="2">
        <v>1.141812</v>
      </c>
      <c r="F100" s="3">
        <v>76.8</v>
      </c>
      <c r="G100" s="3">
        <v>82.4</v>
      </c>
      <c r="H100" s="3">
        <v>0</v>
      </c>
      <c r="I100" s="3">
        <v>0</v>
      </c>
      <c r="J100" s="3">
        <v>5.6</v>
      </c>
      <c r="K100" s="3">
        <v>7.3</v>
      </c>
      <c r="L100" s="3">
        <v>1.1000000000000001</v>
      </c>
      <c r="M100" s="3">
        <v>4.7</v>
      </c>
      <c r="N100" s="4">
        <v>155020</v>
      </c>
      <c r="O100" s="4" t="str" cm="1">
        <f t="array" ref="O100">_xlfn.IFS(N100&lt;45000,"Under 45K",N100&lt;75000,"45K - 75K",N100&lt;100000,"75K - 100K",N100&gt;=100000,"Over 100K")</f>
        <v>Over 100K</v>
      </c>
      <c r="P100" s="2" t="s">
        <v>23</v>
      </c>
    </row>
    <row r="101" spans="1:16">
      <c r="A101" s="2" t="s">
        <v>227</v>
      </c>
      <c r="B101" s="2" t="s">
        <v>228</v>
      </c>
      <c r="C101" s="2" t="s">
        <v>212</v>
      </c>
      <c r="D101" s="2" t="s">
        <v>19</v>
      </c>
      <c r="E101" s="2">
        <v>1.1378699999999999</v>
      </c>
      <c r="F101" s="3">
        <v>351.1</v>
      </c>
      <c r="G101" s="3">
        <v>389.6</v>
      </c>
      <c r="H101" s="3">
        <v>0.2</v>
      </c>
      <c r="I101" s="3">
        <v>0.2</v>
      </c>
      <c r="J101" s="3">
        <v>38.5</v>
      </c>
      <c r="K101" s="3">
        <v>11</v>
      </c>
      <c r="L101" s="3">
        <v>0.2</v>
      </c>
      <c r="M101" s="3">
        <v>25.2</v>
      </c>
      <c r="N101" s="4">
        <v>101140</v>
      </c>
      <c r="O101" s="4" t="str" cm="1">
        <f t="array" ref="O101">_xlfn.IFS(N101&lt;45000,"Under 45K",N101&lt;75000,"45K - 75K",N101&lt;100000,"75K - 100K",N101&gt;=100000,"Over 100K")</f>
        <v>Over 100K</v>
      </c>
      <c r="P101" s="2" t="s">
        <v>23</v>
      </c>
    </row>
    <row r="102" spans="1:16">
      <c r="A102" s="2" t="s">
        <v>229</v>
      </c>
      <c r="B102" s="2" t="s">
        <v>230</v>
      </c>
      <c r="C102" s="2" t="s">
        <v>212</v>
      </c>
      <c r="D102" s="2" t="s">
        <v>19</v>
      </c>
      <c r="E102" s="2">
        <v>1.126725</v>
      </c>
      <c r="F102" s="3">
        <v>192</v>
      </c>
      <c r="G102" s="3">
        <v>205.7</v>
      </c>
      <c r="H102" s="3">
        <v>0.1</v>
      </c>
      <c r="I102" s="3">
        <v>0.1</v>
      </c>
      <c r="J102" s="3">
        <v>13.8</v>
      </c>
      <c r="K102" s="3">
        <v>7.2</v>
      </c>
      <c r="L102" s="3">
        <v>1</v>
      </c>
      <c r="M102" s="3">
        <v>11.7</v>
      </c>
      <c r="N102" s="4">
        <v>111910</v>
      </c>
      <c r="O102" s="4" t="str" cm="1">
        <f t="array" ref="O102">_xlfn.IFS(N102&lt;45000,"Under 45K",N102&lt;75000,"45K - 75K",N102&lt;100000,"75K - 100K",N102&gt;=100000,"Over 100K")</f>
        <v>Over 100K</v>
      </c>
      <c r="P102" s="2" t="s">
        <v>23</v>
      </c>
    </row>
    <row r="103" spans="1:16">
      <c r="A103" s="2" t="s">
        <v>231</v>
      </c>
      <c r="B103" s="2" t="s">
        <v>232</v>
      </c>
      <c r="C103" s="2" t="s">
        <v>212</v>
      </c>
      <c r="D103" s="2" t="s">
        <v>19</v>
      </c>
      <c r="E103" s="2">
        <v>1.047142</v>
      </c>
      <c r="F103" s="3">
        <v>123.6</v>
      </c>
      <c r="G103" s="3">
        <v>128.4</v>
      </c>
      <c r="H103" s="3">
        <v>0.1</v>
      </c>
      <c r="I103" s="3">
        <v>0.1</v>
      </c>
      <c r="J103" s="3">
        <v>4.8</v>
      </c>
      <c r="K103" s="3">
        <v>3.9</v>
      </c>
      <c r="L103" s="3">
        <v>10.5</v>
      </c>
      <c r="M103" s="3">
        <v>7.8</v>
      </c>
      <c r="N103" s="4">
        <v>96690</v>
      </c>
      <c r="O103" s="4" t="str" cm="1">
        <f t="array" ref="O103">_xlfn.IFS(N103&lt;45000,"Under 45K",N103&lt;75000,"45K - 75K",N103&lt;100000,"75K - 100K",N103&gt;=100000,"Over 100K")</f>
        <v>75K - 100K</v>
      </c>
      <c r="P103" s="2" t="s">
        <v>23</v>
      </c>
    </row>
    <row r="104" spans="1:16">
      <c r="A104" s="2" t="s">
        <v>233</v>
      </c>
      <c r="B104" s="2" t="s">
        <v>234</v>
      </c>
      <c r="C104" s="2" t="s">
        <v>212</v>
      </c>
      <c r="D104" s="2" t="s">
        <v>19</v>
      </c>
      <c r="E104" s="2">
        <v>1.0372779999999999</v>
      </c>
      <c r="F104" s="3">
        <v>23</v>
      </c>
      <c r="G104" s="3">
        <v>24.3</v>
      </c>
      <c r="H104" s="3">
        <v>0</v>
      </c>
      <c r="I104" s="3">
        <v>0</v>
      </c>
      <c r="J104" s="3">
        <v>1.3</v>
      </c>
      <c r="K104" s="3">
        <v>5.7</v>
      </c>
      <c r="L104" s="3" t="s">
        <v>30</v>
      </c>
      <c r="M104" s="3">
        <v>1.5</v>
      </c>
      <c r="N104" s="4">
        <v>108310</v>
      </c>
      <c r="O104" s="4" t="str" cm="1">
        <f t="array" ref="O104">_xlfn.IFS(N104&lt;45000,"Under 45K",N104&lt;75000,"45K - 75K",N104&lt;100000,"75K - 100K",N104&gt;=100000,"Over 100K")</f>
        <v>Over 100K</v>
      </c>
      <c r="P104" s="2" t="s">
        <v>23</v>
      </c>
    </row>
    <row r="105" spans="1:16">
      <c r="A105" s="2" t="s">
        <v>235</v>
      </c>
      <c r="B105" s="2" t="s">
        <v>236</v>
      </c>
      <c r="C105" s="2" t="s">
        <v>212</v>
      </c>
      <c r="D105" s="2" t="s">
        <v>19</v>
      </c>
      <c r="E105" s="2">
        <v>1.0343880000000001</v>
      </c>
      <c r="F105" s="3">
        <v>21.8</v>
      </c>
      <c r="G105" s="3">
        <v>22.6</v>
      </c>
      <c r="H105" s="3">
        <v>0</v>
      </c>
      <c r="I105" s="3">
        <v>0</v>
      </c>
      <c r="J105" s="3">
        <v>0.8</v>
      </c>
      <c r="K105" s="3">
        <v>3.5</v>
      </c>
      <c r="L105" s="3">
        <v>10.4</v>
      </c>
      <c r="M105" s="3">
        <v>1.7</v>
      </c>
      <c r="N105" s="4">
        <v>79660</v>
      </c>
      <c r="O105" s="4" t="str" cm="1">
        <f t="array" ref="O105">_xlfn.IFS(N105&lt;45000,"Under 45K",N105&lt;75000,"45K - 75K",N105&lt;100000,"75K - 100K",N105&gt;=100000,"Over 100K")</f>
        <v>75K - 100K</v>
      </c>
      <c r="P105" s="2" t="s">
        <v>23</v>
      </c>
    </row>
    <row r="106" spans="1:16">
      <c r="A106" s="2" t="s">
        <v>237</v>
      </c>
      <c r="B106" s="2" t="s">
        <v>238</v>
      </c>
      <c r="C106" s="2" t="s">
        <v>212</v>
      </c>
      <c r="D106" s="2" t="s">
        <v>19</v>
      </c>
      <c r="E106" s="2">
        <v>1.0047090000000001</v>
      </c>
      <c r="F106" s="3">
        <v>293.10000000000002</v>
      </c>
      <c r="G106" s="3">
        <v>319.60000000000002</v>
      </c>
      <c r="H106" s="3">
        <v>0.2</v>
      </c>
      <c r="I106" s="3">
        <v>0.2</v>
      </c>
      <c r="J106" s="3">
        <v>26.5</v>
      </c>
      <c r="K106" s="3">
        <v>9.1</v>
      </c>
      <c r="L106" s="3">
        <v>1.2</v>
      </c>
      <c r="M106" s="3">
        <v>18.100000000000001</v>
      </c>
      <c r="N106" s="4">
        <v>102320</v>
      </c>
      <c r="O106" s="4" t="str" cm="1">
        <f t="array" ref="O106">_xlfn.IFS(N106&lt;45000,"Under 45K",N106&lt;75000,"45K - 75K",N106&lt;100000,"75K - 100K",N106&gt;=100000,"Over 100K")</f>
        <v>Over 100K</v>
      </c>
      <c r="P106" s="2" t="s">
        <v>23</v>
      </c>
    </row>
    <row r="107" spans="1:16">
      <c r="A107" s="2" t="s">
        <v>239</v>
      </c>
      <c r="B107" s="2" t="s">
        <v>240</v>
      </c>
      <c r="C107" s="2" t="s">
        <v>212</v>
      </c>
      <c r="D107" s="2" t="s">
        <v>19</v>
      </c>
      <c r="E107" s="2">
        <v>0.99489349999999999</v>
      </c>
      <c r="F107" s="3">
        <v>23.8</v>
      </c>
      <c r="G107" s="3">
        <v>24.9</v>
      </c>
      <c r="H107" s="3">
        <v>0</v>
      </c>
      <c r="I107" s="3">
        <v>0</v>
      </c>
      <c r="J107" s="3">
        <v>1.1000000000000001</v>
      </c>
      <c r="K107" s="3">
        <v>4.4000000000000004</v>
      </c>
      <c r="L107" s="3" t="s">
        <v>30</v>
      </c>
      <c r="M107" s="3">
        <v>1.5</v>
      </c>
      <c r="N107" s="4">
        <v>109660</v>
      </c>
      <c r="O107" s="4" t="str" cm="1">
        <f t="array" ref="O107">_xlfn.IFS(N107&lt;45000,"Under 45K",N107&lt;75000,"45K - 75K",N107&lt;100000,"75K - 100K",N107&gt;=100000,"Over 100K")</f>
        <v>Over 100K</v>
      </c>
      <c r="P107" s="2" t="s">
        <v>23</v>
      </c>
    </row>
    <row r="108" spans="1:16">
      <c r="A108" s="2" t="s">
        <v>241</v>
      </c>
      <c r="B108" s="2" t="s">
        <v>242</v>
      </c>
      <c r="C108" s="2" t="s">
        <v>212</v>
      </c>
      <c r="D108" s="2" t="s">
        <v>19</v>
      </c>
      <c r="E108" s="2">
        <v>0.98742390000000002</v>
      </c>
      <c r="F108" s="3">
        <v>22.2</v>
      </c>
      <c r="G108" s="3">
        <v>23.3</v>
      </c>
      <c r="H108" s="3">
        <v>0</v>
      </c>
      <c r="I108" s="3">
        <v>0</v>
      </c>
      <c r="J108" s="3">
        <v>1.1000000000000001</v>
      </c>
      <c r="K108" s="3">
        <v>5.2</v>
      </c>
      <c r="L108" s="3">
        <v>0.2</v>
      </c>
      <c r="M108" s="3">
        <v>1.3</v>
      </c>
      <c r="N108" s="4">
        <v>106950</v>
      </c>
      <c r="O108" s="4" t="str" cm="1">
        <f t="array" ref="O108">_xlfn.IFS(N108&lt;45000,"Under 45K",N108&lt;75000,"45K - 75K",N108&lt;100000,"75K - 100K",N108&gt;=100000,"Over 100K")</f>
        <v>Over 100K</v>
      </c>
      <c r="P108" s="2" t="s">
        <v>23</v>
      </c>
    </row>
    <row r="109" spans="1:16">
      <c r="A109" s="2" t="s">
        <v>243</v>
      </c>
      <c r="B109" s="2" t="s">
        <v>244</v>
      </c>
      <c r="C109" s="2" t="s">
        <v>212</v>
      </c>
      <c r="D109" s="2" t="s">
        <v>19</v>
      </c>
      <c r="E109" s="2">
        <v>0.94096360000000001</v>
      </c>
      <c r="F109" s="3">
        <v>1.7</v>
      </c>
      <c r="G109" s="3">
        <v>1.8</v>
      </c>
      <c r="H109" s="3">
        <v>0</v>
      </c>
      <c r="I109" s="3">
        <v>0</v>
      </c>
      <c r="J109" s="3">
        <v>0.1</v>
      </c>
      <c r="K109" s="3">
        <v>5.9</v>
      </c>
      <c r="L109" s="3" t="s">
        <v>30</v>
      </c>
      <c r="M109" s="3">
        <v>0.1</v>
      </c>
      <c r="N109" s="4">
        <v>84630</v>
      </c>
      <c r="O109" s="4" t="str" cm="1">
        <f t="array" ref="O109">_xlfn.IFS(N109&lt;45000,"Under 45K",N109&lt;75000,"45K - 75K",N109&lt;100000,"75K - 100K",N109&gt;=100000,"Over 100K")</f>
        <v>75K - 100K</v>
      </c>
      <c r="P109" s="2" t="s">
        <v>23</v>
      </c>
    </row>
    <row r="110" spans="1:16">
      <c r="A110" s="2" t="s">
        <v>245</v>
      </c>
      <c r="B110" s="2" t="s">
        <v>246</v>
      </c>
      <c r="C110" s="2" t="s">
        <v>212</v>
      </c>
      <c r="D110" s="2" t="s">
        <v>19</v>
      </c>
      <c r="E110" s="2">
        <v>0.93232190000000004</v>
      </c>
      <c r="F110" s="3">
        <v>64.900000000000006</v>
      </c>
      <c r="G110" s="3">
        <v>66.2</v>
      </c>
      <c r="H110" s="3">
        <v>0</v>
      </c>
      <c r="I110" s="3">
        <v>0</v>
      </c>
      <c r="J110" s="3">
        <v>1.4</v>
      </c>
      <c r="K110" s="3">
        <v>2.1</v>
      </c>
      <c r="L110" s="3">
        <v>0.8</v>
      </c>
      <c r="M110" s="3">
        <v>5.5</v>
      </c>
      <c r="N110" s="4">
        <v>64200</v>
      </c>
      <c r="O110" s="4" t="str" cm="1">
        <f t="array" ref="O110">_xlfn.IFS(N110&lt;45000,"Under 45K",N110&lt;75000,"45K - 75K",N110&lt;100000,"75K - 100K",N110&gt;=100000,"Over 100K")</f>
        <v>45K - 75K</v>
      </c>
      <c r="P110" s="2" t="s">
        <v>92</v>
      </c>
    </row>
    <row r="111" spans="1:16">
      <c r="A111" s="2" t="s">
        <v>247</v>
      </c>
      <c r="B111" s="2" t="s">
        <v>248</v>
      </c>
      <c r="C111" s="2" t="s">
        <v>212</v>
      </c>
      <c r="D111" s="2" t="s">
        <v>19</v>
      </c>
      <c r="E111" s="2">
        <v>0.92339249999999995</v>
      </c>
      <c r="F111" s="3">
        <v>110.5</v>
      </c>
      <c r="G111" s="3">
        <v>115.1</v>
      </c>
      <c r="H111" s="3">
        <v>0.1</v>
      </c>
      <c r="I111" s="3">
        <v>0.1</v>
      </c>
      <c r="J111" s="3">
        <v>4.5999999999999996</v>
      </c>
      <c r="K111" s="3">
        <v>4.0999999999999996</v>
      </c>
      <c r="L111" s="3">
        <v>0.7</v>
      </c>
      <c r="M111" s="3">
        <v>10</v>
      </c>
      <c r="N111" s="4">
        <v>64280</v>
      </c>
      <c r="O111" s="4" t="str" cm="1">
        <f t="array" ref="O111">_xlfn.IFS(N111&lt;45000,"Under 45K",N111&lt;75000,"45K - 75K",N111&lt;100000,"75K - 100K",N111&gt;=100000,"Over 100K")</f>
        <v>45K - 75K</v>
      </c>
      <c r="P111" s="2" t="s">
        <v>92</v>
      </c>
    </row>
    <row r="112" spans="1:16">
      <c r="A112" s="2" t="s">
        <v>249</v>
      </c>
      <c r="B112" s="2" t="s">
        <v>250</v>
      </c>
      <c r="C112" s="2" t="s">
        <v>212</v>
      </c>
      <c r="D112" s="2" t="s">
        <v>19</v>
      </c>
      <c r="E112" s="2">
        <v>0.91016600000000003</v>
      </c>
      <c r="F112" s="3">
        <v>21.6</v>
      </c>
      <c r="G112" s="3">
        <v>20.399999999999999</v>
      </c>
      <c r="H112" s="3">
        <v>0</v>
      </c>
      <c r="I112" s="3">
        <v>0</v>
      </c>
      <c r="J112" s="3">
        <v>-1.2</v>
      </c>
      <c r="K112" s="3">
        <v>-5.6</v>
      </c>
      <c r="L112" s="3">
        <v>6.6</v>
      </c>
      <c r="M112" s="3">
        <v>1.7</v>
      </c>
      <c r="N112" s="4">
        <v>73720</v>
      </c>
      <c r="O112" s="4" t="str" cm="1">
        <f t="array" ref="O112">_xlfn.IFS(N112&lt;45000,"Under 45K",N112&lt;75000,"45K - 75K",N112&lt;100000,"75K - 100K",N112&gt;=100000,"Over 100K")</f>
        <v>45K - 75K</v>
      </c>
      <c r="P112" s="2" t="s">
        <v>92</v>
      </c>
    </row>
    <row r="113" spans="1:16">
      <c r="A113" s="2" t="s">
        <v>251</v>
      </c>
      <c r="B113" s="2" t="s">
        <v>252</v>
      </c>
      <c r="C113" s="2" t="s">
        <v>212</v>
      </c>
      <c r="D113" s="2" t="s">
        <v>19</v>
      </c>
      <c r="E113" s="2">
        <v>0.84100710000000001</v>
      </c>
      <c r="F113" s="3">
        <v>42.9</v>
      </c>
      <c r="G113" s="3">
        <v>40.1</v>
      </c>
      <c r="H113" s="3">
        <v>0</v>
      </c>
      <c r="I113" s="3">
        <v>0</v>
      </c>
      <c r="J113" s="3">
        <v>-2.8</v>
      </c>
      <c r="K113" s="3">
        <v>-6.5</v>
      </c>
      <c r="L113" s="3">
        <v>6.6</v>
      </c>
      <c r="M113" s="3">
        <v>3.3</v>
      </c>
      <c r="N113" s="4">
        <v>68510</v>
      </c>
      <c r="O113" s="4" t="str" cm="1">
        <f t="array" ref="O113">_xlfn.IFS(N113&lt;45000,"Under 45K",N113&lt;75000,"45K - 75K",N113&lt;100000,"75K - 100K",N113&gt;=100000,"Over 100K")</f>
        <v>45K - 75K</v>
      </c>
      <c r="P113" s="2" t="s">
        <v>92</v>
      </c>
    </row>
    <row r="114" spans="1:16">
      <c r="A114" s="2" t="s">
        <v>253</v>
      </c>
      <c r="B114" s="2" t="s">
        <v>254</v>
      </c>
      <c r="C114" s="2" t="s">
        <v>212</v>
      </c>
      <c r="D114" s="2" t="s">
        <v>19</v>
      </c>
      <c r="E114" s="2">
        <v>0.81699790000000005</v>
      </c>
      <c r="F114" s="3">
        <v>13.4</v>
      </c>
      <c r="G114" s="3">
        <v>14.3</v>
      </c>
      <c r="H114" s="3">
        <v>0</v>
      </c>
      <c r="I114" s="3">
        <v>0</v>
      </c>
      <c r="J114" s="3">
        <v>0.9</v>
      </c>
      <c r="K114" s="3">
        <v>6.4</v>
      </c>
      <c r="L114" s="3">
        <v>2.2999999999999998</v>
      </c>
      <c r="M114" s="3">
        <v>1</v>
      </c>
      <c r="N114" s="4">
        <v>78380</v>
      </c>
      <c r="O114" s="4" t="str" cm="1">
        <f t="array" ref="O114">_xlfn.IFS(N114&lt;45000,"Under 45K",N114&lt;75000,"45K - 75K",N114&lt;100000,"75K - 100K",N114&gt;=100000,"Over 100K")</f>
        <v>75K - 100K</v>
      </c>
      <c r="P114" s="2" t="s">
        <v>23</v>
      </c>
    </row>
    <row r="115" spans="1:16">
      <c r="A115" s="2" t="s">
        <v>255</v>
      </c>
      <c r="B115" s="2" t="s">
        <v>256</v>
      </c>
      <c r="C115" s="2" t="s">
        <v>212</v>
      </c>
      <c r="D115" s="2" t="s">
        <v>19</v>
      </c>
      <c r="E115" s="2">
        <v>0.78756599999999999</v>
      </c>
      <c r="F115" s="3">
        <v>158.80000000000001</v>
      </c>
      <c r="G115" s="3">
        <v>162.1</v>
      </c>
      <c r="H115" s="3">
        <v>0.1</v>
      </c>
      <c r="I115" s="3">
        <v>0.1</v>
      </c>
      <c r="J115" s="3">
        <v>3.3</v>
      </c>
      <c r="K115" s="3">
        <v>2.1</v>
      </c>
      <c r="L115" s="3">
        <v>2.1</v>
      </c>
      <c r="M115" s="3">
        <v>9.3000000000000007</v>
      </c>
      <c r="N115" s="4">
        <v>117750</v>
      </c>
      <c r="O115" s="4" t="str" cm="1">
        <f t="array" ref="O115">_xlfn.IFS(N115&lt;45000,"Under 45K",N115&lt;75000,"45K - 75K",N115&lt;100000,"75K - 100K",N115&gt;=100000,"Over 100K")</f>
        <v>Over 100K</v>
      </c>
      <c r="P115" s="2" t="s">
        <v>23</v>
      </c>
    </row>
    <row r="116" spans="1:16">
      <c r="A116" s="2" t="s">
        <v>257</v>
      </c>
      <c r="B116" s="2" t="s">
        <v>258</v>
      </c>
      <c r="C116" s="2" t="s">
        <v>212</v>
      </c>
      <c r="D116" s="2" t="s">
        <v>19</v>
      </c>
      <c r="E116" s="2">
        <v>0.66545779999999999</v>
      </c>
      <c r="F116" s="3">
        <v>95.9</v>
      </c>
      <c r="G116" s="3">
        <v>101.8</v>
      </c>
      <c r="H116" s="3">
        <v>0.1</v>
      </c>
      <c r="I116" s="3">
        <v>0.1</v>
      </c>
      <c r="J116" s="3">
        <v>6</v>
      </c>
      <c r="K116" s="3">
        <v>6.2</v>
      </c>
      <c r="L116" s="3">
        <v>0.9</v>
      </c>
      <c r="M116" s="3">
        <v>5.7</v>
      </c>
      <c r="N116" s="4">
        <v>127590</v>
      </c>
      <c r="O116" s="4" t="str" cm="1">
        <f t="array" ref="O116">_xlfn.IFS(N116&lt;45000,"Under 45K",N116&lt;75000,"45K - 75K",N116&lt;100000,"75K - 100K",N116&gt;=100000,"Over 100K")</f>
        <v>Over 100K</v>
      </c>
      <c r="P116" s="2" t="s">
        <v>23</v>
      </c>
    </row>
    <row r="117" spans="1:16">
      <c r="A117" s="2" t="s">
        <v>259</v>
      </c>
      <c r="B117" s="2" t="s">
        <v>260</v>
      </c>
      <c r="C117" s="2" t="s">
        <v>212</v>
      </c>
      <c r="D117" s="2" t="s">
        <v>19</v>
      </c>
      <c r="E117" s="2">
        <v>0.61066790000000004</v>
      </c>
      <c r="F117" s="3">
        <v>74.599999999999994</v>
      </c>
      <c r="G117" s="3">
        <v>75.900000000000006</v>
      </c>
      <c r="H117" s="3">
        <v>0</v>
      </c>
      <c r="I117" s="3">
        <v>0</v>
      </c>
      <c r="J117" s="3">
        <v>1.3</v>
      </c>
      <c r="K117" s="3">
        <v>1.7</v>
      </c>
      <c r="L117" s="3">
        <v>1.5</v>
      </c>
      <c r="M117" s="3">
        <v>6.3</v>
      </c>
      <c r="N117" s="4">
        <v>64790</v>
      </c>
      <c r="O117" s="4" t="str" cm="1">
        <f t="array" ref="O117">_xlfn.IFS(N117&lt;45000,"Under 45K",N117&lt;75000,"45K - 75K",N117&lt;100000,"75K - 100K",N117&gt;=100000,"Over 100K")</f>
        <v>45K - 75K</v>
      </c>
      <c r="P117" s="2" t="s">
        <v>92</v>
      </c>
    </row>
    <row r="118" spans="1:16">
      <c r="A118" s="2" t="s">
        <v>261</v>
      </c>
      <c r="B118" s="2" t="s">
        <v>262</v>
      </c>
      <c r="C118" s="2" t="s">
        <v>212</v>
      </c>
      <c r="D118" s="2" t="s">
        <v>19</v>
      </c>
      <c r="E118" s="2">
        <v>0.54721730000000002</v>
      </c>
      <c r="F118" s="3">
        <v>8.5</v>
      </c>
      <c r="G118" s="3">
        <v>9</v>
      </c>
      <c r="H118" s="3">
        <v>0</v>
      </c>
      <c r="I118" s="3">
        <v>0</v>
      </c>
      <c r="J118" s="3">
        <v>0.5</v>
      </c>
      <c r="K118" s="3">
        <v>5.8</v>
      </c>
      <c r="L118" s="3" t="s">
        <v>30</v>
      </c>
      <c r="M118" s="3">
        <v>0.6</v>
      </c>
      <c r="N118" s="4">
        <v>105670</v>
      </c>
      <c r="O118" s="4" t="str" cm="1">
        <f t="array" ref="O118">_xlfn.IFS(N118&lt;45000,"Under 45K",N118&lt;75000,"45K - 75K",N118&lt;100000,"75K - 100K",N118&gt;=100000,"Over 100K")</f>
        <v>Over 100K</v>
      </c>
      <c r="P118" s="2" t="s">
        <v>23</v>
      </c>
    </row>
    <row r="119" spans="1:16">
      <c r="A119" s="2" t="s">
        <v>263</v>
      </c>
      <c r="B119" s="2" t="s">
        <v>264</v>
      </c>
      <c r="C119" s="2" t="s">
        <v>212</v>
      </c>
      <c r="D119" s="2" t="s">
        <v>19</v>
      </c>
      <c r="E119" s="2">
        <v>0.39094020000000002</v>
      </c>
      <c r="F119" s="3">
        <v>9.3000000000000007</v>
      </c>
      <c r="G119" s="3">
        <v>10.1</v>
      </c>
      <c r="H119" s="3">
        <v>0</v>
      </c>
      <c r="I119" s="3">
        <v>0</v>
      </c>
      <c r="J119" s="3">
        <v>0.8</v>
      </c>
      <c r="K119" s="3">
        <v>8.1</v>
      </c>
      <c r="L119" s="3">
        <v>1.4</v>
      </c>
      <c r="M119" s="3">
        <v>0.9</v>
      </c>
      <c r="N119" s="4">
        <v>79830</v>
      </c>
      <c r="O119" s="4" t="str" cm="1">
        <f t="array" ref="O119">_xlfn.IFS(N119&lt;45000,"Under 45K",N119&lt;75000,"45K - 75K",N119&lt;100000,"75K - 100K",N119&gt;=100000,"Over 100K")</f>
        <v>75K - 100K</v>
      </c>
      <c r="P119" s="2" t="s">
        <v>92</v>
      </c>
    </row>
    <row r="120" spans="1:16">
      <c r="A120" s="2" t="s">
        <v>265</v>
      </c>
      <c r="B120" s="2" t="s">
        <v>266</v>
      </c>
      <c r="C120" s="2" t="s">
        <v>212</v>
      </c>
      <c r="D120" s="2" t="s">
        <v>19</v>
      </c>
      <c r="E120" s="2">
        <v>0.35152519999999998</v>
      </c>
      <c r="F120" s="3">
        <v>93.7</v>
      </c>
      <c r="G120" s="3">
        <v>94.3</v>
      </c>
      <c r="H120" s="3">
        <v>0.1</v>
      </c>
      <c r="I120" s="3">
        <v>0.1</v>
      </c>
      <c r="J120" s="3">
        <v>0.6</v>
      </c>
      <c r="K120" s="3">
        <v>0.6</v>
      </c>
      <c r="L120" s="3">
        <v>0.1</v>
      </c>
      <c r="M120" s="3">
        <v>8.4</v>
      </c>
      <c r="N120" s="4">
        <v>77180</v>
      </c>
      <c r="O120" s="4" t="str" cm="1">
        <f t="array" ref="O120">_xlfn.IFS(N120&lt;45000,"Under 45K",N120&lt;75000,"45K - 75K",N120&lt;100000,"75K - 100K",N120&gt;=100000,"Over 100K")</f>
        <v>75K - 100K</v>
      </c>
      <c r="P120" s="2" t="s">
        <v>92</v>
      </c>
    </row>
    <row r="121" spans="1:16">
      <c r="A121" s="2" t="s">
        <v>267</v>
      </c>
      <c r="B121" s="2" t="s">
        <v>268</v>
      </c>
      <c r="C121" s="2" t="s">
        <v>212</v>
      </c>
      <c r="D121" s="2" t="s">
        <v>19</v>
      </c>
      <c r="E121" s="2">
        <v>0.19412779999999999</v>
      </c>
      <c r="F121" s="3">
        <v>67.3</v>
      </c>
      <c r="G121" s="3">
        <v>68.3</v>
      </c>
      <c r="H121" s="3">
        <v>0</v>
      </c>
      <c r="I121" s="3">
        <v>0</v>
      </c>
      <c r="J121" s="3">
        <v>1</v>
      </c>
      <c r="K121" s="3">
        <v>1.5</v>
      </c>
      <c r="L121" s="3">
        <v>1</v>
      </c>
      <c r="M121" s="3">
        <v>5.7</v>
      </c>
      <c r="N121" s="4">
        <v>77390</v>
      </c>
      <c r="O121" s="4" t="str" cm="1">
        <f t="array" ref="O121">_xlfn.IFS(N121&lt;45000,"Under 45K",N121&lt;75000,"45K - 75K",N121&lt;100000,"75K - 100K",N121&gt;=100000,"Over 100K")</f>
        <v>75K - 100K</v>
      </c>
      <c r="P121" s="2" t="s">
        <v>92</v>
      </c>
    </row>
    <row r="122" spans="1:16">
      <c r="A122" s="2" t="s">
        <v>269</v>
      </c>
      <c r="B122" s="2" t="s">
        <v>270</v>
      </c>
      <c r="C122" s="2" t="s">
        <v>212</v>
      </c>
      <c r="D122" s="2" t="s">
        <v>19</v>
      </c>
      <c r="E122" s="2">
        <v>0.14606060000000001</v>
      </c>
      <c r="F122" s="3">
        <v>56.1</v>
      </c>
      <c r="G122" s="3">
        <v>58.6</v>
      </c>
      <c r="H122" s="3">
        <v>0</v>
      </c>
      <c r="I122" s="3">
        <v>0</v>
      </c>
      <c r="J122" s="3">
        <v>2.5</v>
      </c>
      <c r="K122" s="3">
        <v>4.4000000000000004</v>
      </c>
      <c r="L122" s="3">
        <v>4.3</v>
      </c>
      <c r="M122" s="3">
        <v>3.9</v>
      </c>
      <c r="N122" s="4">
        <v>72740</v>
      </c>
      <c r="O122" s="4" t="str" cm="1">
        <f t="array" ref="O122">_xlfn.IFS(N122&lt;45000,"Under 45K",N122&lt;75000,"45K - 75K",N122&lt;100000,"75K - 100K",N122&gt;=100000,"Over 100K")</f>
        <v>45K - 75K</v>
      </c>
      <c r="P122" s="2" t="s">
        <v>23</v>
      </c>
    </row>
    <row r="123" spans="1:16">
      <c r="A123" s="2" t="s">
        <v>271</v>
      </c>
      <c r="B123" s="2" t="s">
        <v>272</v>
      </c>
      <c r="C123" s="2" t="s">
        <v>212</v>
      </c>
      <c r="D123" s="2" t="s">
        <v>19</v>
      </c>
      <c r="E123" s="2">
        <v>8.52324E-2</v>
      </c>
      <c r="F123" s="3">
        <v>59.4</v>
      </c>
      <c r="G123" s="3">
        <v>62.1</v>
      </c>
      <c r="H123" s="3">
        <v>0</v>
      </c>
      <c r="I123" s="3">
        <v>0</v>
      </c>
      <c r="J123" s="3">
        <v>2.7</v>
      </c>
      <c r="K123" s="3">
        <v>4.5</v>
      </c>
      <c r="L123" s="3">
        <v>3.6</v>
      </c>
      <c r="M123" s="3">
        <v>7.6</v>
      </c>
      <c r="N123" s="4">
        <v>51940</v>
      </c>
      <c r="O123" s="4" t="str" cm="1">
        <f t="array" ref="O123">_xlfn.IFS(N123&lt;45000,"Under 45K",N123&lt;75000,"45K - 75K",N123&lt;100000,"75K - 100K",N123&gt;=100000,"Over 100K")</f>
        <v>45K - 75K</v>
      </c>
      <c r="P123" s="2" t="s">
        <v>47</v>
      </c>
    </row>
    <row r="124" spans="1:16">
      <c r="A124" s="2" t="s">
        <v>273</v>
      </c>
      <c r="B124" s="2" t="s">
        <v>274</v>
      </c>
      <c r="C124" s="2" t="s">
        <v>212</v>
      </c>
      <c r="D124" s="2" t="s">
        <v>19</v>
      </c>
      <c r="E124" s="2">
        <v>4.3805400000000001E-2</v>
      </c>
      <c r="F124" s="3">
        <v>12.9</v>
      </c>
      <c r="G124" s="3">
        <v>13</v>
      </c>
      <c r="H124" s="3">
        <v>0</v>
      </c>
      <c r="I124" s="3">
        <v>0</v>
      </c>
      <c r="J124" s="3">
        <v>0.1</v>
      </c>
      <c r="K124" s="3">
        <v>1.2</v>
      </c>
      <c r="L124" s="3">
        <v>1.2</v>
      </c>
      <c r="M124" s="3">
        <v>1.1000000000000001</v>
      </c>
      <c r="N124" s="4">
        <v>58890</v>
      </c>
      <c r="O124" s="4" t="str" cm="1">
        <f t="array" ref="O124">_xlfn.IFS(N124&lt;45000,"Under 45K",N124&lt;75000,"45K - 75K",N124&lt;100000,"75K - 100K",N124&gt;=100000,"Over 100K")</f>
        <v>45K - 75K</v>
      </c>
      <c r="P124" s="2" t="s">
        <v>92</v>
      </c>
    </row>
    <row r="125" spans="1:16">
      <c r="A125" s="2" t="s">
        <v>275</v>
      </c>
      <c r="B125" s="2" t="s">
        <v>276</v>
      </c>
      <c r="C125" s="2" t="s">
        <v>212</v>
      </c>
      <c r="D125" s="2" t="s">
        <v>19</v>
      </c>
      <c r="E125" s="15">
        <v>0</v>
      </c>
      <c r="F125" s="3">
        <v>17.100000000000001</v>
      </c>
      <c r="G125" s="3">
        <v>15.9</v>
      </c>
      <c r="H125" s="3">
        <v>0</v>
      </c>
      <c r="I125" s="3">
        <v>0</v>
      </c>
      <c r="J125" s="3">
        <v>-1.2</v>
      </c>
      <c r="K125" s="3">
        <v>-6.9</v>
      </c>
      <c r="L125" s="3">
        <v>6.5</v>
      </c>
      <c r="M125" s="3">
        <v>1.3</v>
      </c>
      <c r="N125" s="4">
        <v>62010</v>
      </c>
      <c r="O125" s="4" t="str" cm="1">
        <f t="array" ref="O125">_xlfn.IFS(N125&lt;45000,"Under 45K",N125&lt;75000,"45K - 75K",N125&lt;100000,"75K - 100K",N125&gt;=100000,"Over 100K")</f>
        <v>45K - 75K</v>
      </c>
      <c r="P125" s="2" t="s">
        <v>92</v>
      </c>
    </row>
    <row r="126" spans="1:16">
      <c r="A126" s="2" t="s">
        <v>277</v>
      </c>
      <c r="B126" s="2" t="s">
        <v>278</v>
      </c>
      <c r="C126" s="2" t="s">
        <v>212</v>
      </c>
      <c r="D126" s="2" t="s">
        <v>19</v>
      </c>
      <c r="E126" s="15">
        <v>0</v>
      </c>
      <c r="F126" s="3">
        <v>15.8</v>
      </c>
      <c r="G126" s="3">
        <v>16.5</v>
      </c>
      <c r="H126" s="3">
        <v>0</v>
      </c>
      <c r="I126" s="3">
        <v>0</v>
      </c>
      <c r="J126" s="3">
        <v>0.7</v>
      </c>
      <c r="K126" s="3">
        <v>4.7</v>
      </c>
      <c r="L126" s="3">
        <v>1.5</v>
      </c>
      <c r="M126" s="3">
        <v>1.4</v>
      </c>
      <c r="N126" s="4">
        <v>65040</v>
      </c>
      <c r="O126" s="4" t="str" cm="1">
        <f t="array" ref="O126">_xlfn.IFS(N126&lt;45000,"Under 45K",N126&lt;75000,"45K - 75K",N126&lt;100000,"75K - 100K",N126&gt;=100000,"Over 100K")</f>
        <v>45K - 75K</v>
      </c>
      <c r="P126" s="2" t="s">
        <v>92</v>
      </c>
    </row>
    <row r="127" spans="1:16">
      <c r="A127" s="2" t="s">
        <v>279</v>
      </c>
      <c r="B127" s="2" t="s">
        <v>280</v>
      </c>
      <c r="C127" s="2" t="s">
        <v>212</v>
      </c>
      <c r="D127" s="2" t="s">
        <v>19</v>
      </c>
      <c r="E127" s="2">
        <v>-0.1192367</v>
      </c>
      <c r="F127" s="3">
        <v>38.299999999999997</v>
      </c>
      <c r="G127" s="3">
        <v>38.299999999999997</v>
      </c>
      <c r="H127" s="3">
        <v>0</v>
      </c>
      <c r="I127" s="3">
        <v>0</v>
      </c>
      <c r="J127" s="3">
        <v>0</v>
      </c>
      <c r="K127" s="3">
        <v>0</v>
      </c>
      <c r="L127" s="3">
        <v>1.5</v>
      </c>
      <c r="M127" s="3">
        <v>3.2</v>
      </c>
      <c r="N127" s="4">
        <v>68730</v>
      </c>
      <c r="O127" s="4" t="str" cm="1">
        <f t="array" ref="O127">_xlfn.IFS(N127&lt;45000,"Under 45K",N127&lt;75000,"45K - 75K",N127&lt;100000,"75K - 100K",N127&gt;=100000,"Over 100K")</f>
        <v>45K - 75K</v>
      </c>
      <c r="P127" s="2" t="s">
        <v>92</v>
      </c>
    </row>
    <row r="128" spans="1:16">
      <c r="A128" s="2" t="s">
        <v>281</v>
      </c>
      <c r="B128" s="2" t="s">
        <v>282</v>
      </c>
      <c r="C128" s="2" t="s">
        <v>212</v>
      </c>
      <c r="D128" s="2" t="s">
        <v>19</v>
      </c>
      <c r="E128" s="2">
        <v>-0.30405070000000001</v>
      </c>
      <c r="F128" s="3">
        <v>15</v>
      </c>
      <c r="G128" s="3">
        <v>15.1</v>
      </c>
      <c r="H128" s="3">
        <v>0</v>
      </c>
      <c r="I128" s="3">
        <v>0</v>
      </c>
      <c r="J128" s="3">
        <v>0.2</v>
      </c>
      <c r="K128" s="3">
        <v>1.1000000000000001</v>
      </c>
      <c r="L128" s="3">
        <v>1.5</v>
      </c>
      <c r="M128" s="3">
        <v>1.3</v>
      </c>
      <c r="N128" s="4">
        <v>70760</v>
      </c>
      <c r="O128" s="4" t="str" cm="1">
        <f t="array" ref="O128">_xlfn.IFS(N128&lt;45000,"Under 45K",N128&lt;75000,"45K - 75K",N128&lt;100000,"75K - 100K",N128&gt;=100000,"Over 100K")</f>
        <v>45K - 75K</v>
      </c>
      <c r="P128" s="2" t="s">
        <v>92</v>
      </c>
    </row>
    <row r="129" spans="1:16">
      <c r="A129" s="2" t="s">
        <v>283</v>
      </c>
      <c r="B129" s="2" t="s">
        <v>284</v>
      </c>
      <c r="C129" s="2" t="s">
        <v>285</v>
      </c>
      <c r="D129" s="2" t="s">
        <v>19</v>
      </c>
      <c r="E129" s="2">
        <v>1.4362980000000001</v>
      </c>
      <c r="F129" s="3">
        <v>1.5</v>
      </c>
      <c r="G129" s="3">
        <v>1.5</v>
      </c>
      <c r="H129" s="3">
        <v>0</v>
      </c>
      <c r="I129" s="3">
        <v>0</v>
      </c>
      <c r="J129" s="3">
        <v>0</v>
      </c>
      <c r="K129" s="3">
        <v>-3.1</v>
      </c>
      <c r="L129" s="3" t="s">
        <v>30</v>
      </c>
      <c r="M129" s="3">
        <v>0.1</v>
      </c>
      <c r="N129" s="4">
        <v>97200</v>
      </c>
      <c r="O129" s="4" t="str" cm="1">
        <f t="array" ref="O129">_xlfn.IFS(N129&lt;45000,"Under 45K",N129&lt;75000,"45K - 75K",N129&lt;100000,"75K - 100K",N129&gt;=100000,"Over 100K")</f>
        <v>75K - 100K</v>
      </c>
      <c r="P129" s="2" t="s">
        <v>23</v>
      </c>
    </row>
    <row r="130" spans="1:16">
      <c r="A130" s="2" t="s">
        <v>286</v>
      </c>
      <c r="B130" s="2" t="s">
        <v>287</v>
      </c>
      <c r="C130" s="2" t="s">
        <v>285</v>
      </c>
      <c r="D130" s="2" t="s">
        <v>19</v>
      </c>
      <c r="E130" s="2">
        <v>1.4362870000000001</v>
      </c>
      <c r="F130" s="3">
        <v>12.3</v>
      </c>
      <c r="G130" s="3">
        <v>14.3</v>
      </c>
      <c r="H130" s="3">
        <v>0</v>
      </c>
      <c r="I130" s="3">
        <v>0</v>
      </c>
      <c r="J130" s="3">
        <v>2</v>
      </c>
      <c r="K130" s="3">
        <v>16.2</v>
      </c>
      <c r="L130" s="3" t="s">
        <v>30</v>
      </c>
      <c r="M130" s="3">
        <v>0.8</v>
      </c>
      <c r="N130" s="4">
        <v>83980</v>
      </c>
      <c r="O130" s="4" t="str" cm="1">
        <f t="array" ref="O130">_xlfn.IFS(N130&lt;45000,"Under 45K",N130&lt;75000,"45K - 75K",N130&lt;100000,"75K - 100K",N130&gt;=100000,"Over 100K")</f>
        <v>75K - 100K</v>
      </c>
      <c r="P130" s="2" t="s">
        <v>20</v>
      </c>
    </row>
    <row r="131" spans="1:16">
      <c r="A131" s="2" t="s">
        <v>288</v>
      </c>
      <c r="B131" s="2" t="s">
        <v>289</v>
      </c>
      <c r="C131" s="2" t="s">
        <v>285</v>
      </c>
      <c r="D131" s="2" t="s">
        <v>19</v>
      </c>
      <c r="E131" s="2">
        <v>1.4265300000000001</v>
      </c>
      <c r="F131" s="3">
        <v>8.8000000000000007</v>
      </c>
      <c r="G131" s="3">
        <v>8.3000000000000007</v>
      </c>
      <c r="H131" s="3">
        <v>0</v>
      </c>
      <c r="I131" s="3">
        <v>0</v>
      </c>
      <c r="J131" s="3">
        <v>-0.5</v>
      </c>
      <c r="K131" s="3">
        <v>-5.2</v>
      </c>
      <c r="L131" s="3">
        <v>4</v>
      </c>
      <c r="M131" s="3">
        <v>0.7</v>
      </c>
      <c r="N131" s="4">
        <v>63380</v>
      </c>
      <c r="O131" s="4" t="str" cm="1">
        <f t="array" ref="O131">_xlfn.IFS(N131&lt;45000,"Under 45K",N131&lt;75000,"45K - 75K",N131&lt;100000,"75K - 100K",N131&gt;=100000,"Over 100K")</f>
        <v>45K - 75K</v>
      </c>
      <c r="P131" s="2" t="s">
        <v>20</v>
      </c>
    </row>
    <row r="132" spans="1:16">
      <c r="A132" s="2" t="s">
        <v>290</v>
      </c>
      <c r="B132" s="2" t="s">
        <v>291</v>
      </c>
      <c r="C132" s="2" t="s">
        <v>285</v>
      </c>
      <c r="D132" s="2" t="s">
        <v>19</v>
      </c>
      <c r="E132" s="2">
        <v>1.418863</v>
      </c>
      <c r="F132" s="3">
        <v>6.5</v>
      </c>
      <c r="G132" s="3">
        <v>6.3</v>
      </c>
      <c r="H132" s="3">
        <v>0</v>
      </c>
      <c r="I132" s="3">
        <v>0</v>
      </c>
      <c r="J132" s="3">
        <v>-0.2</v>
      </c>
      <c r="K132" s="3">
        <v>-3.1</v>
      </c>
      <c r="L132" s="3">
        <v>1.1000000000000001</v>
      </c>
      <c r="M132" s="3">
        <v>0.5</v>
      </c>
      <c r="N132" s="4">
        <v>139380</v>
      </c>
      <c r="O132" s="4" t="str" cm="1">
        <f t="array" ref="O132">_xlfn.IFS(N132&lt;45000,"Under 45K",N132&lt;75000,"45K - 75K",N132&lt;100000,"75K - 100K",N132&gt;=100000,"Over 100K")</f>
        <v>Over 100K</v>
      </c>
      <c r="P132" s="2" t="s">
        <v>20</v>
      </c>
    </row>
    <row r="133" spans="1:16">
      <c r="A133" s="2" t="s">
        <v>292</v>
      </c>
      <c r="B133" s="2" t="s">
        <v>293</v>
      </c>
      <c r="C133" s="2" t="s">
        <v>285</v>
      </c>
      <c r="D133" s="2" t="s">
        <v>19</v>
      </c>
      <c r="E133" s="2">
        <v>1.411125</v>
      </c>
      <c r="F133" s="3">
        <v>3.4</v>
      </c>
      <c r="G133" s="3">
        <v>3.6</v>
      </c>
      <c r="H133" s="3">
        <v>0</v>
      </c>
      <c r="I133" s="3">
        <v>0</v>
      </c>
      <c r="J133" s="3">
        <v>0.1</v>
      </c>
      <c r="K133" s="3">
        <v>3.6</v>
      </c>
      <c r="L133" s="3">
        <v>3</v>
      </c>
      <c r="M133" s="3">
        <v>0.3</v>
      </c>
      <c r="N133" s="4">
        <v>101690</v>
      </c>
      <c r="O133" s="4" t="str" cm="1">
        <f t="array" ref="O133">_xlfn.IFS(N133&lt;45000,"Under 45K",N133&lt;75000,"45K - 75K",N133&lt;100000,"75K - 100K",N133&gt;=100000,"Over 100K")</f>
        <v>Over 100K</v>
      </c>
      <c r="P133" s="2" t="s">
        <v>20</v>
      </c>
    </row>
    <row r="134" spans="1:16">
      <c r="A134" s="2" t="s">
        <v>294</v>
      </c>
      <c r="B134" s="2" t="s">
        <v>295</v>
      </c>
      <c r="C134" s="2" t="s">
        <v>285</v>
      </c>
      <c r="D134" s="2" t="s">
        <v>19</v>
      </c>
      <c r="E134" s="2">
        <v>1.403764</v>
      </c>
      <c r="F134" s="3">
        <v>17.600000000000001</v>
      </c>
      <c r="G134" s="3">
        <v>17.8</v>
      </c>
      <c r="H134" s="3">
        <v>0</v>
      </c>
      <c r="I134" s="3">
        <v>0</v>
      </c>
      <c r="J134" s="3">
        <v>0.2</v>
      </c>
      <c r="K134" s="3">
        <v>1.2</v>
      </c>
      <c r="L134" s="3">
        <v>3.7</v>
      </c>
      <c r="M134" s="3">
        <v>0.9</v>
      </c>
      <c r="N134" s="4">
        <v>115440</v>
      </c>
      <c r="O134" s="4" t="str" cm="1">
        <f t="array" ref="O134">_xlfn.IFS(N134&lt;45000,"Under 45K",N134&lt;75000,"45K - 75K",N134&lt;100000,"75K - 100K",N134&gt;=100000,"Over 100K")</f>
        <v>Over 100K</v>
      </c>
      <c r="P134" s="2" t="s">
        <v>20</v>
      </c>
    </row>
    <row r="135" spans="1:16">
      <c r="A135" s="2" t="s">
        <v>296</v>
      </c>
      <c r="B135" s="2" t="s">
        <v>297</v>
      </c>
      <c r="C135" s="2" t="s">
        <v>285</v>
      </c>
      <c r="D135" s="2" t="s">
        <v>19</v>
      </c>
      <c r="E135" s="2">
        <v>1.4024749999999999</v>
      </c>
      <c r="F135" s="3">
        <v>5.6</v>
      </c>
      <c r="G135" s="3">
        <v>5.9</v>
      </c>
      <c r="H135" s="3">
        <v>0</v>
      </c>
      <c r="I135" s="3">
        <v>0</v>
      </c>
      <c r="J135" s="3">
        <v>0.3</v>
      </c>
      <c r="K135" s="3">
        <v>6.3</v>
      </c>
      <c r="L135" s="3">
        <v>80.5</v>
      </c>
      <c r="M135" s="3">
        <v>0.4</v>
      </c>
      <c r="N135" s="4">
        <v>109840</v>
      </c>
      <c r="O135" s="4" t="str" cm="1">
        <f t="array" ref="O135">_xlfn.IFS(N135&lt;45000,"Under 45K",N135&lt;75000,"45K - 75K",N135&lt;100000,"75K - 100K",N135&gt;=100000,"Over 100K")</f>
        <v>Over 100K</v>
      </c>
      <c r="P135" s="2" t="s">
        <v>20</v>
      </c>
    </row>
    <row r="136" spans="1:16">
      <c r="A136" s="2" t="s">
        <v>298</v>
      </c>
      <c r="B136" s="2" t="s">
        <v>299</v>
      </c>
      <c r="C136" s="2" t="s">
        <v>285</v>
      </c>
      <c r="D136" s="2" t="s">
        <v>19</v>
      </c>
      <c r="E136" s="2">
        <v>1.3898539999999999</v>
      </c>
      <c r="F136" s="3">
        <v>55.3</v>
      </c>
      <c r="G136" s="3">
        <v>57.7</v>
      </c>
      <c r="H136" s="3">
        <v>0</v>
      </c>
      <c r="I136" s="3">
        <v>0</v>
      </c>
      <c r="J136" s="3">
        <v>2.4</v>
      </c>
      <c r="K136" s="3">
        <v>4.3</v>
      </c>
      <c r="L136" s="3">
        <v>65.900000000000006</v>
      </c>
      <c r="M136" s="3">
        <v>3.9</v>
      </c>
      <c r="N136" s="4">
        <v>117580</v>
      </c>
      <c r="O136" s="4" t="str" cm="1">
        <f t="array" ref="O136">_xlfn.IFS(N136&lt;45000,"Under 45K",N136&lt;75000,"45K - 75K",N136&lt;100000,"75K - 100K",N136&gt;=100000,"Over 100K")</f>
        <v>Over 100K</v>
      </c>
      <c r="P136" s="2" t="s">
        <v>20</v>
      </c>
    </row>
    <row r="137" spans="1:16">
      <c r="A137" s="2" t="s">
        <v>300</v>
      </c>
      <c r="B137" s="2" t="s">
        <v>301</v>
      </c>
      <c r="C137" s="2" t="s">
        <v>285</v>
      </c>
      <c r="D137" s="2" t="s">
        <v>19</v>
      </c>
      <c r="E137" s="2">
        <v>1.3739170000000001</v>
      </c>
      <c r="F137" s="3">
        <v>9.4</v>
      </c>
      <c r="G137" s="3">
        <v>9.5</v>
      </c>
      <c r="H137" s="3">
        <v>0</v>
      </c>
      <c r="I137" s="3">
        <v>0</v>
      </c>
      <c r="J137" s="3">
        <v>0.1</v>
      </c>
      <c r="K137" s="3">
        <v>0.7</v>
      </c>
      <c r="L137" s="3" t="s">
        <v>30</v>
      </c>
      <c r="M137" s="3">
        <v>0.7</v>
      </c>
      <c r="N137" s="4">
        <v>97450</v>
      </c>
      <c r="O137" s="4" t="str" cm="1">
        <f t="array" ref="O137">_xlfn.IFS(N137&lt;45000,"Under 45K",N137&lt;75000,"45K - 75K",N137&lt;100000,"75K - 100K",N137&gt;=100000,"Over 100K")</f>
        <v>75K - 100K</v>
      </c>
      <c r="P137" s="2" t="s">
        <v>23</v>
      </c>
    </row>
    <row r="138" spans="1:16">
      <c r="A138" s="2" t="s">
        <v>302</v>
      </c>
      <c r="B138" s="2" t="s">
        <v>303</v>
      </c>
      <c r="C138" s="2" t="s">
        <v>285</v>
      </c>
      <c r="D138" s="2" t="s">
        <v>19</v>
      </c>
      <c r="E138" s="2">
        <v>1.373737</v>
      </c>
      <c r="F138" s="3">
        <v>1.8</v>
      </c>
      <c r="G138" s="3">
        <v>1.8</v>
      </c>
      <c r="H138" s="3">
        <v>0</v>
      </c>
      <c r="I138" s="3">
        <v>0</v>
      </c>
      <c r="J138" s="3">
        <v>0</v>
      </c>
      <c r="K138" s="3">
        <v>2.2000000000000002</v>
      </c>
      <c r="L138" s="3">
        <v>5.4</v>
      </c>
      <c r="M138" s="3">
        <v>0.1</v>
      </c>
      <c r="N138" s="4">
        <v>132170</v>
      </c>
      <c r="O138" s="4" t="str" cm="1">
        <f t="array" ref="O138">_xlfn.IFS(N138&lt;45000,"Under 45K",N138&lt;75000,"45K - 75K",N138&lt;100000,"75K - 100K",N138&gt;=100000,"Over 100K")</f>
        <v>Over 100K</v>
      </c>
      <c r="P138" s="2" t="s">
        <v>304</v>
      </c>
    </row>
    <row r="139" spans="1:16">
      <c r="A139" s="2" t="s">
        <v>305</v>
      </c>
      <c r="B139" s="2" t="s">
        <v>306</v>
      </c>
      <c r="C139" s="2" t="s">
        <v>285</v>
      </c>
      <c r="D139" s="2" t="s">
        <v>19</v>
      </c>
      <c r="E139" s="2">
        <v>1.345736</v>
      </c>
      <c r="F139" s="3">
        <v>24.6</v>
      </c>
      <c r="G139" s="3">
        <v>25.6</v>
      </c>
      <c r="H139" s="3">
        <v>0</v>
      </c>
      <c r="I139" s="3">
        <v>0</v>
      </c>
      <c r="J139" s="3">
        <v>1</v>
      </c>
      <c r="K139" s="3">
        <v>4</v>
      </c>
      <c r="L139" s="3">
        <v>8.6999999999999993</v>
      </c>
      <c r="M139" s="3">
        <v>1.7</v>
      </c>
      <c r="N139" s="4">
        <v>166290</v>
      </c>
      <c r="O139" s="4" t="str" cm="1">
        <f t="array" ref="O139">_xlfn.IFS(N139&lt;45000,"Under 45K",N139&lt;75000,"45K - 75K",N139&lt;100000,"75K - 100K",N139&gt;=100000,"Over 100K")</f>
        <v>Over 100K</v>
      </c>
      <c r="P139" s="2" t="s">
        <v>304</v>
      </c>
    </row>
    <row r="140" spans="1:16">
      <c r="A140" s="2" t="s">
        <v>307</v>
      </c>
      <c r="B140" s="2" t="s">
        <v>308</v>
      </c>
      <c r="C140" s="2" t="s">
        <v>285</v>
      </c>
      <c r="D140" s="2" t="s">
        <v>19</v>
      </c>
      <c r="E140" s="2">
        <v>1.3280479999999999</v>
      </c>
      <c r="F140" s="3">
        <v>40.799999999999997</v>
      </c>
      <c r="G140" s="3">
        <v>40.1</v>
      </c>
      <c r="H140" s="3">
        <v>0</v>
      </c>
      <c r="I140" s="3">
        <v>0</v>
      </c>
      <c r="J140" s="3">
        <v>-0.7</v>
      </c>
      <c r="K140" s="3">
        <v>-1.7</v>
      </c>
      <c r="L140" s="3">
        <v>1.3</v>
      </c>
      <c r="M140" s="3">
        <v>3.2</v>
      </c>
      <c r="N140" s="4">
        <v>100340</v>
      </c>
      <c r="O140" s="4" t="str" cm="1">
        <f t="array" ref="O140">_xlfn.IFS(N140&lt;45000,"Under 45K",N140&lt;75000,"45K - 75K",N140&lt;100000,"75K - 100K",N140&gt;=100000,"Over 100K")</f>
        <v>Over 100K</v>
      </c>
      <c r="P140" s="2" t="s">
        <v>23</v>
      </c>
    </row>
    <row r="141" spans="1:16">
      <c r="A141" s="2" t="s">
        <v>309</v>
      </c>
      <c r="B141" s="2" t="s">
        <v>310</v>
      </c>
      <c r="C141" s="2" t="s">
        <v>285</v>
      </c>
      <c r="D141" s="2" t="s">
        <v>19</v>
      </c>
      <c r="E141" s="2">
        <v>1.279928</v>
      </c>
      <c r="F141" s="3">
        <v>165.3</v>
      </c>
      <c r="G141" s="3">
        <v>179.6</v>
      </c>
      <c r="H141" s="3">
        <v>0.1</v>
      </c>
      <c r="I141" s="3">
        <v>0.1</v>
      </c>
      <c r="J141" s="3">
        <v>14.3</v>
      </c>
      <c r="K141" s="3">
        <v>8.6999999999999993</v>
      </c>
      <c r="L141" s="3">
        <v>0.6</v>
      </c>
      <c r="M141" s="3">
        <v>9.6</v>
      </c>
      <c r="N141" s="4">
        <v>100590</v>
      </c>
      <c r="O141" s="4" t="str" cm="1">
        <f t="array" ref="O141">_xlfn.IFS(N141&lt;45000,"Under 45K",N141&lt;75000,"45K - 75K",N141&lt;100000,"75K - 100K",N141&gt;=100000,"Over 100K")</f>
        <v>Over 100K</v>
      </c>
      <c r="P141" s="2" t="s">
        <v>304</v>
      </c>
    </row>
    <row r="142" spans="1:16">
      <c r="A142" s="2" t="s">
        <v>311</v>
      </c>
      <c r="B142" s="2" t="s">
        <v>312</v>
      </c>
      <c r="C142" s="2" t="s">
        <v>285</v>
      </c>
      <c r="D142" s="2" t="s">
        <v>19</v>
      </c>
      <c r="E142" s="2">
        <v>1.2275160000000001</v>
      </c>
      <c r="F142" s="3">
        <v>44.7</v>
      </c>
      <c r="G142" s="3">
        <v>46.2</v>
      </c>
      <c r="H142" s="3">
        <v>0</v>
      </c>
      <c r="I142" s="3">
        <v>0</v>
      </c>
      <c r="J142" s="3">
        <v>1.5</v>
      </c>
      <c r="K142" s="3">
        <v>3.4</v>
      </c>
      <c r="L142" s="3" t="s">
        <v>30</v>
      </c>
      <c r="M142" s="3">
        <v>3.4</v>
      </c>
      <c r="N142" s="4">
        <v>83720</v>
      </c>
      <c r="O142" s="4" t="str" cm="1">
        <f t="array" ref="O142">_xlfn.IFS(N142&lt;45000,"Under 45K",N142&lt;75000,"45K - 75K",N142&lt;100000,"75K - 100K",N142&gt;=100000,"Over 100K")</f>
        <v>75K - 100K</v>
      </c>
      <c r="P142" s="2" t="s">
        <v>20</v>
      </c>
    </row>
    <row r="143" spans="1:16">
      <c r="A143" s="2" t="s">
        <v>313</v>
      </c>
      <c r="B143" s="2" t="s">
        <v>314</v>
      </c>
      <c r="C143" s="2" t="s">
        <v>285</v>
      </c>
      <c r="D143" s="2" t="s">
        <v>19</v>
      </c>
      <c r="E143" s="2">
        <v>1.2046520000000001</v>
      </c>
      <c r="F143" s="3">
        <v>40.6</v>
      </c>
      <c r="G143" s="3">
        <v>42.3</v>
      </c>
      <c r="H143" s="3">
        <v>0</v>
      </c>
      <c r="I143" s="3">
        <v>0</v>
      </c>
      <c r="J143" s="3">
        <v>1.8</v>
      </c>
      <c r="K143" s="3">
        <v>4.4000000000000004</v>
      </c>
      <c r="L143" s="3">
        <v>4.9000000000000004</v>
      </c>
      <c r="M143" s="3">
        <v>5.2</v>
      </c>
      <c r="N143" s="4">
        <v>58040</v>
      </c>
      <c r="O143" s="4" t="str" cm="1">
        <f t="array" ref="O143">_xlfn.IFS(N143&lt;45000,"Under 45K",N143&lt;75000,"45K - 75K",N143&lt;100000,"75K - 100K",N143&gt;=100000,"Over 100K")</f>
        <v>45K - 75K</v>
      </c>
      <c r="P143" s="2" t="s">
        <v>23</v>
      </c>
    </row>
    <row r="144" spans="1:16">
      <c r="A144" s="2" t="s">
        <v>315</v>
      </c>
      <c r="B144" s="2" t="s">
        <v>316</v>
      </c>
      <c r="C144" s="2" t="s">
        <v>285</v>
      </c>
      <c r="D144" s="2" t="s">
        <v>19</v>
      </c>
      <c r="E144" s="2">
        <v>1.1401570000000001</v>
      </c>
      <c r="F144" s="3">
        <v>31.9</v>
      </c>
      <c r="G144" s="3">
        <v>32.1</v>
      </c>
      <c r="H144" s="3">
        <v>0</v>
      </c>
      <c r="I144" s="3">
        <v>0</v>
      </c>
      <c r="J144" s="3">
        <v>0.2</v>
      </c>
      <c r="K144" s="3">
        <v>0.6</v>
      </c>
      <c r="L144" s="3">
        <v>17.5</v>
      </c>
      <c r="M144" s="3">
        <v>2</v>
      </c>
      <c r="N144" s="4">
        <v>117960</v>
      </c>
      <c r="O144" s="4" t="str" cm="1">
        <f t="array" ref="O144">_xlfn.IFS(N144&lt;45000,"Under 45K",N144&lt;75000,"45K - 75K",N144&lt;100000,"75K - 100K",N144&gt;=100000,"Over 100K")</f>
        <v>Over 100K</v>
      </c>
      <c r="P144" s="2" t="s">
        <v>23</v>
      </c>
    </row>
    <row r="145" spans="1:16">
      <c r="A145" s="2" t="s">
        <v>317</v>
      </c>
      <c r="B145" s="2" t="s">
        <v>318</v>
      </c>
      <c r="C145" s="2" t="s">
        <v>285</v>
      </c>
      <c r="D145" s="2" t="s">
        <v>19</v>
      </c>
      <c r="E145" s="2">
        <v>1.098921</v>
      </c>
      <c r="F145" s="3">
        <v>3.4</v>
      </c>
      <c r="G145" s="3">
        <v>3.5</v>
      </c>
      <c r="H145" s="3">
        <v>0</v>
      </c>
      <c r="I145" s="3">
        <v>0</v>
      </c>
      <c r="J145" s="3">
        <v>0.1</v>
      </c>
      <c r="K145" s="3">
        <v>2.2000000000000002</v>
      </c>
      <c r="L145" s="3">
        <v>2</v>
      </c>
      <c r="M145" s="3">
        <v>0.3</v>
      </c>
      <c r="N145" s="4">
        <v>74050</v>
      </c>
      <c r="O145" s="4" t="str" cm="1">
        <f t="array" ref="O145">_xlfn.IFS(N145&lt;45000,"Under 45K",N145&lt;75000,"45K - 75K",N145&lt;100000,"75K - 100K",N145&gt;=100000,"Over 100K")</f>
        <v>45K - 75K</v>
      </c>
      <c r="P145" s="2" t="s">
        <v>20</v>
      </c>
    </row>
    <row r="146" spans="1:16">
      <c r="A146" s="2" t="s">
        <v>319</v>
      </c>
      <c r="B146" s="2" t="s">
        <v>320</v>
      </c>
      <c r="C146" s="2" t="s">
        <v>285</v>
      </c>
      <c r="D146" s="2" t="s">
        <v>19</v>
      </c>
      <c r="E146" s="2">
        <v>1.041358</v>
      </c>
      <c r="F146" s="3">
        <v>2.8</v>
      </c>
      <c r="G146" s="3">
        <v>2.9</v>
      </c>
      <c r="H146" s="3">
        <v>0</v>
      </c>
      <c r="I146" s="3">
        <v>0</v>
      </c>
      <c r="J146" s="3">
        <v>0.2</v>
      </c>
      <c r="K146" s="3">
        <v>5.8</v>
      </c>
      <c r="L146" s="3">
        <v>2.2999999999999998</v>
      </c>
      <c r="M146" s="3">
        <v>0.2</v>
      </c>
      <c r="N146" s="4">
        <v>79120</v>
      </c>
      <c r="O146" s="4" t="str" cm="1">
        <f t="array" ref="O146">_xlfn.IFS(N146&lt;45000,"Under 45K",N146&lt;75000,"45K - 75K",N146&lt;100000,"75K - 100K",N146&gt;=100000,"Over 100K")</f>
        <v>75K - 100K</v>
      </c>
      <c r="P146" s="2" t="s">
        <v>23</v>
      </c>
    </row>
    <row r="147" spans="1:16">
      <c r="A147" s="2" t="s">
        <v>321</v>
      </c>
      <c r="B147" s="2" t="s">
        <v>322</v>
      </c>
      <c r="C147" s="2" t="s">
        <v>285</v>
      </c>
      <c r="D147" s="2" t="s">
        <v>19</v>
      </c>
      <c r="E147" s="2">
        <v>1.0327569999999999</v>
      </c>
      <c r="F147" s="3">
        <v>8.6999999999999993</v>
      </c>
      <c r="G147" s="3">
        <v>9.1</v>
      </c>
      <c r="H147" s="3">
        <v>0</v>
      </c>
      <c r="I147" s="3">
        <v>0</v>
      </c>
      <c r="J147" s="3">
        <v>0.4</v>
      </c>
      <c r="K147" s="3">
        <v>4.9000000000000004</v>
      </c>
      <c r="L147" s="3">
        <v>1.1000000000000001</v>
      </c>
      <c r="M147" s="3">
        <v>0.6</v>
      </c>
      <c r="N147" s="4">
        <v>104160</v>
      </c>
      <c r="O147" s="4" t="str" cm="1">
        <f t="array" ref="O147">_xlfn.IFS(N147&lt;45000,"Under 45K",N147&lt;75000,"45K - 75K",N147&lt;100000,"75K - 100K",N147&gt;=100000,"Over 100K")</f>
        <v>Over 100K</v>
      </c>
      <c r="P147" s="2" t="s">
        <v>23</v>
      </c>
    </row>
    <row r="148" spans="1:16">
      <c r="A148" s="2" t="s">
        <v>323</v>
      </c>
      <c r="B148" s="2" t="s">
        <v>324</v>
      </c>
      <c r="C148" s="2" t="s">
        <v>285</v>
      </c>
      <c r="D148" s="2" t="s">
        <v>19</v>
      </c>
      <c r="E148" s="2">
        <v>1.014113</v>
      </c>
      <c r="F148" s="3">
        <v>90.3</v>
      </c>
      <c r="G148" s="3">
        <v>94.3</v>
      </c>
      <c r="H148" s="3">
        <v>0.1</v>
      </c>
      <c r="I148" s="3">
        <v>0.1</v>
      </c>
      <c r="J148" s="3">
        <v>4</v>
      </c>
      <c r="K148" s="3">
        <v>4.4000000000000004</v>
      </c>
      <c r="L148" s="3">
        <v>1.5</v>
      </c>
      <c r="M148" s="3">
        <v>8.5</v>
      </c>
      <c r="N148" s="4">
        <v>80060</v>
      </c>
      <c r="O148" s="4" t="str" cm="1">
        <f t="array" ref="O148">_xlfn.IFS(N148&lt;45000,"Under 45K",N148&lt;75000,"45K - 75K",N148&lt;100000,"75K - 100K",N148&gt;=100000,"Over 100K")</f>
        <v>75K - 100K</v>
      </c>
      <c r="P148" s="2" t="s">
        <v>23</v>
      </c>
    </row>
    <row r="149" spans="1:16">
      <c r="A149" s="2" t="s">
        <v>325</v>
      </c>
      <c r="B149" s="2" t="s">
        <v>326</v>
      </c>
      <c r="C149" s="2" t="s">
        <v>285</v>
      </c>
      <c r="D149" s="2" t="s">
        <v>19</v>
      </c>
      <c r="E149" s="2">
        <v>1.0101929999999999</v>
      </c>
      <c r="F149" s="3">
        <v>63.7</v>
      </c>
      <c r="G149" s="3">
        <v>64.5</v>
      </c>
      <c r="H149" s="3">
        <v>0</v>
      </c>
      <c r="I149" s="3">
        <v>0</v>
      </c>
      <c r="J149" s="3">
        <v>0.8</v>
      </c>
      <c r="K149" s="3">
        <v>1.2</v>
      </c>
      <c r="L149" s="3">
        <v>1</v>
      </c>
      <c r="M149" s="3">
        <v>4.8</v>
      </c>
      <c r="N149" s="4">
        <v>93330</v>
      </c>
      <c r="O149" s="4" t="str" cm="1">
        <f t="array" ref="O149">_xlfn.IFS(N149&lt;45000,"Under 45K",N149&lt;75000,"45K - 75K",N149&lt;100000,"75K - 100K",N149&gt;=100000,"Over 100K")</f>
        <v>75K - 100K</v>
      </c>
      <c r="P149" s="2" t="s">
        <v>23</v>
      </c>
    </row>
    <row r="150" spans="1:16">
      <c r="A150" s="2" t="s">
        <v>327</v>
      </c>
      <c r="B150" s="2" t="s">
        <v>328</v>
      </c>
      <c r="C150" s="2" t="s">
        <v>285</v>
      </c>
      <c r="D150" s="2" t="s">
        <v>19</v>
      </c>
      <c r="E150" s="2">
        <v>0.90605089999999999</v>
      </c>
      <c r="F150" s="3">
        <v>35.6</v>
      </c>
      <c r="G150" s="3">
        <v>37.6</v>
      </c>
      <c r="H150" s="3">
        <v>0</v>
      </c>
      <c r="I150" s="3">
        <v>0</v>
      </c>
      <c r="J150" s="3">
        <v>2.1</v>
      </c>
      <c r="K150" s="3">
        <v>5.8</v>
      </c>
      <c r="L150" s="3">
        <v>1.7</v>
      </c>
      <c r="M150" s="3">
        <v>2.9</v>
      </c>
      <c r="N150" s="4">
        <v>103650</v>
      </c>
      <c r="O150" s="4" t="str" cm="1">
        <f t="array" ref="O150">_xlfn.IFS(N150&lt;45000,"Under 45K",N150&lt;75000,"45K - 75K",N150&lt;100000,"75K - 100K",N150&gt;=100000,"Over 100K")</f>
        <v>Over 100K</v>
      </c>
      <c r="P150" s="2" t="s">
        <v>304</v>
      </c>
    </row>
    <row r="151" spans="1:16">
      <c r="A151" s="2" t="s">
        <v>329</v>
      </c>
      <c r="B151" s="2" t="s">
        <v>330</v>
      </c>
      <c r="C151" s="2" t="s">
        <v>285</v>
      </c>
      <c r="D151" s="2" t="s">
        <v>19</v>
      </c>
      <c r="E151" s="2">
        <v>0.79435750000000005</v>
      </c>
      <c r="F151" s="3">
        <v>15.2</v>
      </c>
      <c r="G151" s="3">
        <v>16.2</v>
      </c>
      <c r="H151" s="3">
        <v>0</v>
      </c>
      <c r="I151" s="3">
        <v>0</v>
      </c>
      <c r="J151" s="3">
        <v>1</v>
      </c>
      <c r="K151" s="3">
        <v>6.5</v>
      </c>
      <c r="L151" s="3">
        <v>3.3</v>
      </c>
      <c r="M151" s="3">
        <v>1.2</v>
      </c>
      <c r="N151" s="4">
        <v>85310</v>
      </c>
      <c r="O151" s="4" t="str" cm="1">
        <f t="array" ref="O151">_xlfn.IFS(N151&lt;45000,"Under 45K",N151&lt;75000,"45K - 75K",N151&lt;100000,"75K - 100K",N151&gt;=100000,"Over 100K")</f>
        <v>75K - 100K</v>
      </c>
      <c r="P151" s="2" t="s">
        <v>23</v>
      </c>
    </row>
    <row r="152" spans="1:16">
      <c r="A152" s="2" t="s">
        <v>331</v>
      </c>
      <c r="B152" s="2" t="s">
        <v>332</v>
      </c>
      <c r="C152" s="2" t="s">
        <v>285</v>
      </c>
      <c r="D152" s="2" t="s">
        <v>19</v>
      </c>
      <c r="E152" s="2">
        <v>0.71434810000000004</v>
      </c>
      <c r="F152" s="3">
        <v>25.1</v>
      </c>
      <c r="G152" s="3">
        <v>26</v>
      </c>
      <c r="H152" s="3">
        <v>0</v>
      </c>
      <c r="I152" s="3">
        <v>0</v>
      </c>
      <c r="J152" s="3">
        <v>0.8</v>
      </c>
      <c r="K152" s="3">
        <v>3.2</v>
      </c>
      <c r="L152" s="3">
        <v>7</v>
      </c>
      <c r="M152" s="3">
        <v>2</v>
      </c>
      <c r="N152" s="4">
        <v>99240</v>
      </c>
      <c r="O152" s="4" t="str" cm="1">
        <f t="array" ref="O152">_xlfn.IFS(N152&lt;45000,"Under 45K",N152&lt;75000,"45K - 75K",N152&lt;100000,"75K - 100K",N152&gt;=100000,"Over 100K")</f>
        <v>75K - 100K</v>
      </c>
      <c r="P152" s="2" t="s">
        <v>23</v>
      </c>
    </row>
    <row r="153" spans="1:16">
      <c r="A153" s="2" t="s">
        <v>333</v>
      </c>
      <c r="B153" s="2" t="s">
        <v>334</v>
      </c>
      <c r="C153" s="2" t="s">
        <v>285</v>
      </c>
      <c r="D153" s="2" t="s">
        <v>19</v>
      </c>
      <c r="E153" s="2">
        <v>0.69656649999999998</v>
      </c>
      <c r="F153" s="3">
        <v>8.8000000000000007</v>
      </c>
      <c r="G153" s="3">
        <v>9.1999999999999993</v>
      </c>
      <c r="H153" s="3">
        <v>0</v>
      </c>
      <c r="I153" s="3">
        <v>0</v>
      </c>
      <c r="J153" s="3">
        <v>0.3</v>
      </c>
      <c r="K153" s="3">
        <v>3.7</v>
      </c>
      <c r="L153" s="3">
        <v>3.6</v>
      </c>
      <c r="M153" s="3">
        <v>0.8</v>
      </c>
      <c r="N153" s="4">
        <v>64910</v>
      </c>
      <c r="O153" s="4" t="str" cm="1">
        <f t="array" ref="O153">_xlfn.IFS(N153&lt;45000,"Under 45K",N153&lt;75000,"45K - 75K",N153&lt;100000,"75K - 100K",N153&gt;=100000,"Over 100K")</f>
        <v>45K - 75K</v>
      </c>
      <c r="P153" s="2" t="s">
        <v>20</v>
      </c>
    </row>
    <row r="154" spans="1:16">
      <c r="A154" s="2" t="s">
        <v>335</v>
      </c>
      <c r="B154" s="2" t="s">
        <v>336</v>
      </c>
      <c r="C154" s="2" t="s">
        <v>285</v>
      </c>
      <c r="D154" s="2" t="s">
        <v>19</v>
      </c>
      <c r="E154" s="2">
        <v>0.69556470000000004</v>
      </c>
      <c r="F154" s="3">
        <v>20.7</v>
      </c>
      <c r="G154" s="3">
        <v>21.6</v>
      </c>
      <c r="H154" s="3">
        <v>0</v>
      </c>
      <c r="I154" s="3">
        <v>0</v>
      </c>
      <c r="J154" s="3">
        <v>0.8</v>
      </c>
      <c r="K154" s="3">
        <v>4.0999999999999996</v>
      </c>
      <c r="L154" s="3">
        <v>1.3</v>
      </c>
      <c r="M154" s="3">
        <v>1.7</v>
      </c>
      <c r="N154" s="4">
        <v>87330</v>
      </c>
      <c r="O154" s="4" t="str" cm="1">
        <f t="array" ref="O154">_xlfn.IFS(N154&lt;45000,"Under 45K",N154&lt;75000,"45K - 75K",N154&lt;100000,"75K - 100K",N154&gt;=100000,"Over 100K")</f>
        <v>75K - 100K</v>
      </c>
      <c r="P154" s="2" t="s">
        <v>23</v>
      </c>
    </row>
    <row r="155" spans="1:16">
      <c r="A155" s="2" t="s">
        <v>337</v>
      </c>
      <c r="B155" s="2" t="s">
        <v>338</v>
      </c>
      <c r="C155" s="2" t="s">
        <v>285</v>
      </c>
      <c r="D155" s="2" t="s">
        <v>19</v>
      </c>
      <c r="E155" s="2">
        <v>0.6405071</v>
      </c>
      <c r="F155" s="3">
        <v>6.3</v>
      </c>
      <c r="G155" s="3">
        <v>6.3</v>
      </c>
      <c r="H155" s="3">
        <v>0</v>
      </c>
      <c r="I155" s="3">
        <v>0</v>
      </c>
      <c r="J155" s="3">
        <v>0</v>
      </c>
      <c r="K155" s="3">
        <v>-0.1</v>
      </c>
      <c r="L155" s="3">
        <v>3.1</v>
      </c>
      <c r="M155" s="3">
        <v>0.5</v>
      </c>
      <c r="N155" s="4">
        <v>92060</v>
      </c>
      <c r="O155" s="4" t="str" cm="1">
        <f t="array" ref="O155">_xlfn.IFS(N155&lt;45000,"Under 45K",N155&lt;75000,"45K - 75K",N155&lt;100000,"75K - 100K",N155&gt;=100000,"Over 100K")</f>
        <v>75K - 100K</v>
      </c>
      <c r="P155" s="2" t="s">
        <v>23</v>
      </c>
    </row>
    <row r="156" spans="1:16">
      <c r="A156" s="2" t="s">
        <v>339</v>
      </c>
      <c r="B156" s="2" t="s">
        <v>340</v>
      </c>
      <c r="C156" s="2" t="s">
        <v>285</v>
      </c>
      <c r="D156" s="2" t="s">
        <v>19</v>
      </c>
      <c r="E156" s="2">
        <v>0.63206960000000001</v>
      </c>
      <c r="F156" s="3">
        <v>20.7</v>
      </c>
      <c r="G156" s="3">
        <v>21.8</v>
      </c>
      <c r="H156" s="3">
        <v>0</v>
      </c>
      <c r="I156" s="3">
        <v>0</v>
      </c>
      <c r="J156" s="3">
        <v>1.1000000000000001</v>
      </c>
      <c r="K156" s="3">
        <v>5.4</v>
      </c>
      <c r="L156" s="3">
        <v>2</v>
      </c>
      <c r="M156" s="3">
        <v>1.7</v>
      </c>
      <c r="N156" s="4">
        <v>71410</v>
      </c>
      <c r="O156" s="4" t="str" cm="1">
        <f t="array" ref="O156">_xlfn.IFS(N156&lt;45000,"Under 45K",N156&lt;75000,"45K - 75K",N156&lt;100000,"75K - 100K",N156&gt;=100000,"Over 100K")</f>
        <v>45K - 75K</v>
      </c>
      <c r="P156" s="2" t="s">
        <v>23</v>
      </c>
    </row>
    <row r="157" spans="1:16">
      <c r="A157" s="2" t="s">
        <v>341</v>
      </c>
      <c r="B157" s="2" t="s">
        <v>342</v>
      </c>
      <c r="C157" s="2" t="s">
        <v>285</v>
      </c>
      <c r="D157" s="2" t="s">
        <v>19</v>
      </c>
      <c r="E157" s="2">
        <v>0.50112509999999999</v>
      </c>
      <c r="F157" s="3">
        <v>86.8</v>
      </c>
      <c r="G157" s="3">
        <v>91</v>
      </c>
      <c r="H157" s="3">
        <v>0.1</v>
      </c>
      <c r="I157" s="3">
        <v>0.1</v>
      </c>
      <c r="J157" s="3">
        <v>4.3</v>
      </c>
      <c r="K157" s="3">
        <v>4.9000000000000004</v>
      </c>
      <c r="L157" s="3">
        <v>1</v>
      </c>
      <c r="M157" s="3">
        <v>6.3</v>
      </c>
      <c r="N157" s="4">
        <v>84150</v>
      </c>
      <c r="O157" s="4" t="str" cm="1">
        <f t="array" ref="O157">_xlfn.IFS(N157&lt;45000,"Under 45K",N157&lt;75000,"45K - 75K",N157&lt;100000,"75K - 100K",N157&gt;=100000,"Over 100K")</f>
        <v>75K - 100K</v>
      </c>
      <c r="P157" s="2" t="s">
        <v>23</v>
      </c>
    </row>
    <row r="158" spans="1:16">
      <c r="A158" s="2" t="s">
        <v>343</v>
      </c>
      <c r="B158" s="2" t="s">
        <v>344</v>
      </c>
      <c r="C158" s="2" t="s">
        <v>285</v>
      </c>
      <c r="D158" s="2" t="s">
        <v>19</v>
      </c>
      <c r="E158" s="2">
        <v>0.45010440000000002</v>
      </c>
      <c r="F158" s="3">
        <v>83.2</v>
      </c>
      <c r="G158" s="3">
        <v>86.2</v>
      </c>
      <c r="H158" s="3">
        <v>0</v>
      </c>
      <c r="I158" s="3">
        <v>0</v>
      </c>
      <c r="J158" s="3">
        <v>2.9</v>
      </c>
      <c r="K158" s="3">
        <v>3.5</v>
      </c>
      <c r="L158" s="3">
        <v>4.9000000000000004</v>
      </c>
      <c r="M158" s="3">
        <v>10.6</v>
      </c>
      <c r="N158" s="4">
        <v>60130</v>
      </c>
      <c r="O158" s="4" t="str" cm="1">
        <f t="array" ref="O158">_xlfn.IFS(N158&lt;45000,"Under 45K",N158&lt;75000,"45K - 75K",N158&lt;100000,"75K - 100K",N158&gt;=100000,"Over 100K")</f>
        <v>45K - 75K</v>
      </c>
      <c r="P158" s="2" t="s">
        <v>92</v>
      </c>
    </row>
    <row r="159" spans="1:16">
      <c r="A159" s="2" t="s">
        <v>345</v>
      </c>
      <c r="B159" s="2" t="s">
        <v>346</v>
      </c>
      <c r="C159" s="2" t="s">
        <v>285</v>
      </c>
      <c r="D159" s="2" t="s">
        <v>19</v>
      </c>
      <c r="E159" s="2">
        <v>0.31759530000000002</v>
      </c>
      <c r="F159" s="3">
        <v>18.2</v>
      </c>
      <c r="G159" s="3">
        <v>18.5</v>
      </c>
      <c r="H159" s="3">
        <v>0</v>
      </c>
      <c r="I159" s="3">
        <v>0</v>
      </c>
      <c r="J159" s="3">
        <v>0.3</v>
      </c>
      <c r="K159" s="3">
        <v>1.6</v>
      </c>
      <c r="L159" s="3">
        <v>0.5</v>
      </c>
      <c r="M159" s="3">
        <v>1.4</v>
      </c>
      <c r="N159" s="4">
        <v>72860</v>
      </c>
      <c r="O159" s="4" t="str" cm="1">
        <f t="array" ref="O159">_xlfn.IFS(N159&lt;45000,"Under 45K",N159&lt;75000,"45K - 75K",N159&lt;100000,"75K - 100K",N159&gt;=100000,"Over 100K")</f>
        <v>45K - 75K</v>
      </c>
      <c r="P159" s="2" t="s">
        <v>23</v>
      </c>
    </row>
    <row r="160" spans="1:16">
      <c r="A160" s="2" t="s">
        <v>347</v>
      </c>
      <c r="B160" s="2" t="s">
        <v>348</v>
      </c>
      <c r="C160" s="2" t="s">
        <v>285</v>
      </c>
      <c r="D160" s="2" t="s">
        <v>19</v>
      </c>
      <c r="E160" s="2">
        <v>0.30123549999999999</v>
      </c>
      <c r="F160" s="3">
        <v>82.7</v>
      </c>
      <c r="G160" s="3">
        <v>85.6</v>
      </c>
      <c r="H160" s="3">
        <v>0</v>
      </c>
      <c r="I160" s="3">
        <v>0</v>
      </c>
      <c r="J160" s="3">
        <v>2.9</v>
      </c>
      <c r="K160" s="3">
        <v>3.5</v>
      </c>
      <c r="L160" s="3" t="s">
        <v>30</v>
      </c>
      <c r="M160" s="3">
        <v>9.1</v>
      </c>
      <c r="N160" s="4">
        <v>52000</v>
      </c>
      <c r="O160" s="4" t="str" cm="1">
        <f t="array" ref="O160">_xlfn.IFS(N160&lt;45000,"Under 45K",N160&lt;75000,"45K - 75K",N160&lt;100000,"75K - 100K",N160&gt;=100000,"Over 100K")</f>
        <v>45K - 75K</v>
      </c>
      <c r="P160" s="2" t="s">
        <v>23</v>
      </c>
    </row>
    <row r="161" spans="1:16">
      <c r="A161" s="2" t="s">
        <v>349</v>
      </c>
      <c r="B161" s="2" t="s">
        <v>350</v>
      </c>
      <c r="C161" s="2" t="s">
        <v>285</v>
      </c>
      <c r="D161" s="2" t="s">
        <v>19</v>
      </c>
      <c r="E161" s="2">
        <v>0.24005180000000001</v>
      </c>
      <c r="F161" s="3">
        <v>20.7</v>
      </c>
      <c r="G161" s="3">
        <v>23.3</v>
      </c>
      <c r="H161" s="3">
        <v>0</v>
      </c>
      <c r="I161" s="3">
        <v>0</v>
      </c>
      <c r="J161" s="3">
        <v>2.6</v>
      </c>
      <c r="K161" s="3">
        <v>12.8</v>
      </c>
      <c r="L161" s="3">
        <v>0.9</v>
      </c>
      <c r="M161" s="3">
        <v>2.9</v>
      </c>
      <c r="N161" s="4">
        <v>67440</v>
      </c>
      <c r="O161" s="4" t="str" cm="1">
        <f t="array" ref="O161">_xlfn.IFS(N161&lt;45000,"Under 45K",N161&lt;75000,"45K - 75K",N161&lt;100000,"75K - 100K",N161&gt;=100000,"Over 100K")</f>
        <v>45K - 75K</v>
      </c>
      <c r="P161" s="2" t="s">
        <v>23</v>
      </c>
    </row>
    <row r="162" spans="1:16">
      <c r="A162" s="2" t="s">
        <v>351</v>
      </c>
      <c r="B162" s="2" t="s">
        <v>352</v>
      </c>
      <c r="C162" s="2" t="s">
        <v>285</v>
      </c>
      <c r="D162" s="2" t="s">
        <v>19</v>
      </c>
      <c r="E162" s="2">
        <v>0.1696743</v>
      </c>
      <c r="F162" s="3">
        <v>6</v>
      </c>
      <c r="G162" s="3">
        <v>5.5</v>
      </c>
      <c r="H162" s="3">
        <v>0</v>
      </c>
      <c r="I162" s="3">
        <v>0</v>
      </c>
      <c r="J162" s="3">
        <v>-0.5</v>
      </c>
      <c r="K162" s="3">
        <v>-7.7</v>
      </c>
      <c r="L162" s="3" t="s">
        <v>30</v>
      </c>
      <c r="M162" s="3">
        <v>0.7</v>
      </c>
      <c r="N162" s="4">
        <v>104240</v>
      </c>
      <c r="O162" s="4" t="str" cm="1">
        <f t="array" ref="O162">_xlfn.IFS(N162&lt;45000,"Under 45K",N162&lt;75000,"45K - 75K",N162&lt;100000,"75K - 100K",N162&gt;=100000,"Over 100K")</f>
        <v>Over 100K</v>
      </c>
      <c r="P162" s="2" t="s">
        <v>92</v>
      </c>
    </row>
    <row r="163" spans="1:16">
      <c r="A163" s="2" t="s">
        <v>353</v>
      </c>
      <c r="B163" s="2" t="s">
        <v>354</v>
      </c>
      <c r="C163" s="2" t="s">
        <v>285</v>
      </c>
      <c r="D163" s="2" t="s">
        <v>19</v>
      </c>
      <c r="E163" s="2">
        <v>6.9031300000000004E-2</v>
      </c>
      <c r="F163" s="3">
        <v>28.5</v>
      </c>
      <c r="G163" s="3">
        <v>29.5</v>
      </c>
      <c r="H163" s="3">
        <v>0</v>
      </c>
      <c r="I163" s="3">
        <v>0</v>
      </c>
      <c r="J163" s="3">
        <v>1</v>
      </c>
      <c r="K163" s="3">
        <v>3.4</v>
      </c>
      <c r="L163" s="3">
        <v>3.5</v>
      </c>
      <c r="M163" s="3">
        <v>2.5</v>
      </c>
      <c r="N163" s="4">
        <v>67950</v>
      </c>
      <c r="O163" s="4" t="str" cm="1">
        <f t="array" ref="O163">_xlfn.IFS(N163&lt;45000,"Under 45K",N163&lt;75000,"45K - 75K",N163&lt;100000,"75K - 100K",N163&gt;=100000,"Over 100K")</f>
        <v>45K - 75K</v>
      </c>
      <c r="P163" s="2" t="s">
        <v>23</v>
      </c>
    </row>
    <row r="164" spans="1:16">
      <c r="A164" s="2" t="s">
        <v>355</v>
      </c>
      <c r="B164" s="2" t="s">
        <v>356</v>
      </c>
      <c r="C164" s="2" t="s">
        <v>285</v>
      </c>
      <c r="D164" s="2" t="s">
        <v>19</v>
      </c>
      <c r="E164" s="2">
        <v>6.2805700000000006E-2</v>
      </c>
      <c r="F164" s="3">
        <v>57</v>
      </c>
      <c r="G164" s="3">
        <v>59</v>
      </c>
      <c r="H164" s="3">
        <v>0</v>
      </c>
      <c r="I164" s="3">
        <v>0</v>
      </c>
      <c r="J164" s="3">
        <v>2.1</v>
      </c>
      <c r="K164" s="3">
        <v>3.7</v>
      </c>
      <c r="L164" s="3">
        <v>0.7</v>
      </c>
      <c r="M164" s="3">
        <v>6.7</v>
      </c>
      <c r="N164" s="4">
        <v>57790</v>
      </c>
      <c r="O164" s="4" t="str" cm="1">
        <f t="array" ref="O164">_xlfn.IFS(N164&lt;45000,"Under 45K",N164&lt;75000,"45K - 75K",N164&lt;100000,"75K - 100K",N164&gt;=100000,"Over 100K")</f>
        <v>45K - 75K</v>
      </c>
      <c r="P164" s="2" t="s">
        <v>92</v>
      </c>
    </row>
    <row r="165" spans="1:16">
      <c r="A165" s="2" t="s">
        <v>357</v>
      </c>
      <c r="B165" s="2" t="s">
        <v>358</v>
      </c>
      <c r="C165" s="2" t="s">
        <v>285</v>
      </c>
      <c r="D165" s="2" t="s">
        <v>19</v>
      </c>
      <c r="E165" s="15">
        <v>0</v>
      </c>
      <c r="F165" s="3">
        <v>7.8</v>
      </c>
      <c r="G165" s="3">
        <v>8.1</v>
      </c>
      <c r="H165" s="3">
        <v>0</v>
      </c>
      <c r="I165" s="3">
        <v>0</v>
      </c>
      <c r="J165" s="3">
        <v>0.3</v>
      </c>
      <c r="K165" s="3">
        <v>3.7</v>
      </c>
      <c r="L165" s="3" t="s">
        <v>30</v>
      </c>
      <c r="M165" s="3">
        <v>0.4</v>
      </c>
      <c r="N165" s="4">
        <v>87800</v>
      </c>
      <c r="O165" s="4" t="str" cm="1">
        <f t="array" ref="O165">_xlfn.IFS(N165&lt;45000,"Under 45K",N165&lt;75000,"45K - 75K",N165&lt;100000,"75K - 100K",N165&gt;=100000,"Over 100K")</f>
        <v>75K - 100K</v>
      </c>
      <c r="P165" s="2" t="s">
        <v>23</v>
      </c>
    </row>
    <row r="166" spans="1:16">
      <c r="A166" s="2" t="s">
        <v>359</v>
      </c>
      <c r="B166" s="2" t="s">
        <v>360</v>
      </c>
      <c r="C166" s="2" t="s">
        <v>285</v>
      </c>
      <c r="D166" s="2" t="s">
        <v>19</v>
      </c>
      <c r="E166" s="15">
        <v>0</v>
      </c>
      <c r="F166" s="3">
        <v>76.3</v>
      </c>
      <c r="G166" s="3">
        <v>84.8</v>
      </c>
      <c r="H166" s="3">
        <v>0</v>
      </c>
      <c r="I166" s="3">
        <v>0</v>
      </c>
      <c r="J166" s="3">
        <v>8.5</v>
      </c>
      <c r="K166" s="3">
        <v>11.2</v>
      </c>
      <c r="L166" s="3">
        <v>2.4</v>
      </c>
      <c r="M166" s="3">
        <v>4.8</v>
      </c>
      <c r="N166" s="4">
        <v>95830</v>
      </c>
      <c r="O166" s="4" t="str" cm="1">
        <f t="array" ref="O166">_xlfn.IFS(N166&lt;45000,"Under 45K",N166&lt;75000,"45K - 75K",N166&lt;100000,"75K - 100K",N166&gt;=100000,"Over 100K")</f>
        <v>75K - 100K</v>
      </c>
      <c r="P166" s="2" t="s">
        <v>304</v>
      </c>
    </row>
    <row r="167" spans="1:16">
      <c r="A167" s="2" t="s">
        <v>361</v>
      </c>
      <c r="B167" s="2" t="s">
        <v>362</v>
      </c>
      <c r="C167" s="2" t="s">
        <v>285</v>
      </c>
      <c r="D167" s="2" t="s">
        <v>19</v>
      </c>
      <c r="E167" s="15">
        <v>0</v>
      </c>
      <c r="F167" s="3">
        <v>67.2</v>
      </c>
      <c r="G167" s="3">
        <v>67.7</v>
      </c>
      <c r="H167" s="3">
        <v>0</v>
      </c>
      <c r="I167" s="3">
        <v>0</v>
      </c>
      <c r="J167" s="3">
        <v>0.5</v>
      </c>
      <c r="K167" s="3">
        <v>0.7</v>
      </c>
      <c r="L167" s="3">
        <v>5.3</v>
      </c>
      <c r="M167" s="3">
        <v>3.8</v>
      </c>
      <c r="N167" s="4">
        <v>86930</v>
      </c>
      <c r="O167" s="4" t="str" cm="1">
        <f t="array" ref="O167">_xlfn.IFS(N167&lt;45000,"Under 45K",N167&lt;75000,"45K - 75K",N167&lt;100000,"75K - 100K",N167&gt;=100000,"Over 100K")</f>
        <v>75K - 100K</v>
      </c>
      <c r="P167" s="2" t="s">
        <v>20</v>
      </c>
    </row>
    <row r="168" spans="1:16">
      <c r="A168" s="2" t="s">
        <v>363</v>
      </c>
      <c r="B168" s="2" t="s">
        <v>364</v>
      </c>
      <c r="C168" s="2" t="s">
        <v>285</v>
      </c>
      <c r="D168" s="2" t="s">
        <v>19</v>
      </c>
      <c r="E168" s="2">
        <v>0</v>
      </c>
      <c r="F168" s="3">
        <v>18.600000000000001</v>
      </c>
      <c r="G168" s="3">
        <v>19.399999999999999</v>
      </c>
      <c r="H168" s="3">
        <v>0</v>
      </c>
      <c r="I168" s="3">
        <v>0</v>
      </c>
      <c r="J168" s="3">
        <v>0.8</v>
      </c>
      <c r="K168" s="3">
        <v>4.3</v>
      </c>
      <c r="L168" s="3">
        <v>5.2</v>
      </c>
      <c r="M168" s="3">
        <v>2.9</v>
      </c>
      <c r="N168" s="4">
        <v>46790</v>
      </c>
      <c r="O168" s="4" t="str" cm="1">
        <f t="array" ref="O168">_xlfn.IFS(N168&lt;45000,"Under 45K",N168&lt;75000,"45K - 75K",N168&lt;100000,"75K - 100K",N168&gt;=100000,"Over 100K")</f>
        <v>45K - 75K</v>
      </c>
      <c r="P168" s="2" t="s">
        <v>92</v>
      </c>
    </row>
    <row r="169" spans="1:16">
      <c r="A169" s="2" t="s">
        <v>365</v>
      </c>
      <c r="B169" s="2" t="s">
        <v>366</v>
      </c>
      <c r="C169" s="2" t="s">
        <v>285</v>
      </c>
      <c r="D169" s="2" t="s">
        <v>19</v>
      </c>
      <c r="E169" s="15">
        <v>0</v>
      </c>
      <c r="F169" s="3">
        <v>20.399999999999999</v>
      </c>
      <c r="G169" s="3">
        <v>21.3</v>
      </c>
      <c r="H169" s="3">
        <v>0</v>
      </c>
      <c r="I169" s="3">
        <v>0</v>
      </c>
      <c r="J169" s="3">
        <v>1</v>
      </c>
      <c r="K169" s="3">
        <v>4.8</v>
      </c>
      <c r="L169" s="3">
        <v>6.7</v>
      </c>
      <c r="M169" s="3">
        <v>3.2</v>
      </c>
      <c r="N169" s="4">
        <v>49430</v>
      </c>
      <c r="O169" s="4" t="str" cm="1">
        <f t="array" ref="O169">_xlfn.IFS(N169&lt;45000,"Under 45K",N169&lt;75000,"45K - 75K",N169&lt;100000,"75K - 100K",N169&gt;=100000,"Over 100K")</f>
        <v>45K - 75K</v>
      </c>
      <c r="P169" s="2" t="s">
        <v>92</v>
      </c>
    </row>
    <row r="170" spans="1:16">
      <c r="A170" s="2" t="s">
        <v>367</v>
      </c>
      <c r="B170" s="2" t="s">
        <v>368</v>
      </c>
      <c r="C170" s="2" t="s">
        <v>285</v>
      </c>
      <c r="D170" s="2" t="s">
        <v>19</v>
      </c>
      <c r="E170" s="15">
        <v>0</v>
      </c>
      <c r="F170" s="3">
        <v>40.4</v>
      </c>
      <c r="G170" s="3">
        <v>42.1</v>
      </c>
      <c r="H170" s="3">
        <v>0</v>
      </c>
      <c r="I170" s="3">
        <v>0</v>
      </c>
      <c r="J170" s="3">
        <v>1.6</v>
      </c>
      <c r="K170" s="3">
        <v>4</v>
      </c>
      <c r="L170" s="3" t="s">
        <v>30</v>
      </c>
      <c r="M170" s="3">
        <v>5.6</v>
      </c>
      <c r="N170" s="4">
        <v>49490</v>
      </c>
      <c r="O170" s="4" t="str" cm="1">
        <f t="array" ref="O170">_xlfn.IFS(N170&lt;45000,"Under 45K",N170&lt;75000,"45K - 75K",N170&lt;100000,"75K - 100K",N170&gt;=100000,"Over 100K")</f>
        <v>45K - 75K</v>
      </c>
      <c r="P170" s="2" t="s">
        <v>92</v>
      </c>
    </row>
    <row r="171" spans="1:16">
      <c r="A171" s="2" t="s">
        <v>369</v>
      </c>
      <c r="B171" s="2" t="s">
        <v>370</v>
      </c>
      <c r="C171" s="2" t="s">
        <v>285</v>
      </c>
      <c r="D171" s="2" t="s">
        <v>19</v>
      </c>
      <c r="E171" s="15">
        <v>0</v>
      </c>
      <c r="F171" s="3">
        <v>9.8000000000000007</v>
      </c>
      <c r="G171" s="3">
        <v>10</v>
      </c>
      <c r="H171" s="3">
        <v>0</v>
      </c>
      <c r="I171" s="3">
        <v>0</v>
      </c>
      <c r="J171" s="3">
        <v>0.1</v>
      </c>
      <c r="K171" s="3">
        <v>1.5</v>
      </c>
      <c r="L171" s="3" t="s">
        <v>30</v>
      </c>
      <c r="M171" s="3">
        <v>1.3</v>
      </c>
      <c r="N171" s="4">
        <v>48390</v>
      </c>
      <c r="O171" s="4" t="str" cm="1">
        <f t="array" ref="O171">_xlfn.IFS(N171&lt;45000,"Under 45K",N171&lt;75000,"45K - 75K",N171&lt;100000,"75K - 100K",N171&gt;=100000,"Over 100K")</f>
        <v>45K - 75K</v>
      </c>
      <c r="P171" s="2" t="s">
        <v>92</v>
      </c>
    </row>
    <row r="172" spans="1:16">
      <c r="A172" s="2" t="s">
        <v>371</v>
      </c>
      <c r="B172" s="2" t="s">
        <v>372</v>
      </c>
      <c r="C172" s="2" t="s">
        <v>285</v>
      </c>
      <c r="D172" s="2" t="s">
        <v>19</v>
      </c>
      <c r="E172" s="15">
        <v>0</v>
      </c>
      <c r="F172" s="3">
        <v>3.1</v>
      </c>
      <c r="G172" s="3">
        <v>3</v>
      </c>
      <c r="H172" s="3">
        <v>0</v>
      </c>
      <c r="I172" s="3">
        <v>0</v>
      </c>
      <c r="J172" s="3">
        <v>-0.1</v>
      </c>
      <c r="K172" s="3">
        <v>-2.1</v>
      </c>
      <c r="L172" s="3" t="s">
        <v>30</v>
      </c>
      <c r="M172" s="3">
        <v>0.4</v>
      </c>
      <c r="N172" s="4">
        <v>58570</v>
      </c>
      <c r="O172" s="4" t="str" cm="1">
        <f t="array" ref="O172">_xlfn.IFS(N172&lt;45000,"Under 45K",N172&lt;75000,"45K - 75K",N172&lt;100000,"75K - 100K",N172&gt;=100000,"Over 100K")</f>
        <v>45K - 75K</v>
      </c>
      <c r="P172" s="2" t="s">
        <v>92</v>
      </c>
    </row>
    <row r="173" spans="1:16">
      <c r="A173" s="2" t="s">
        <v>373</v>
      </c>
      <c r="B173" s="2" t="s">
        <v>374</v>
      </c>
      <c r="C173" s="2" t="s">
        <v>285</v>
      </c>
      <c r="D173" s="2" t="s">
        <v>19</v>
      </c>
      <c r="E173" s="15">
        <v>0</v>
      </c>
      <c r="F173" s="3">
        <v>33.799999999999997</v>
      </c>
      <c r="G173" s="3">
        <v>32.700000000000003</v>
      </c>
      <c r="H173" s="3">
        <v>0</v>
      </c>
      <c r="I173" s="3">
        <v>0</v>
      </c>
      <c r="J173" s="3">
        <v>-1.1000000000000001</v>
      </c>
      <c r="K173" s="3">
        <v>-3.2</v>
      </c>
      <c r="L173" s="3">
        <v>0.7</v>
      </c>
      <c r="M173" s="3">
        <v>3.9</v>
      </c>
      <c r="N173" s="4">
        <v>54310</v>
      </c>
      <c r="O173" s="4" t="str" cm="1">
        <f t="array" ref="O173">_xlfn.IFS(N173&lt;45000,"Under 45K",N173&lt;75000,"45K - 75K",N173&lt;100000,"75K - 100K",N173&gt;=100000,"Over 100K")</f>
        <v>45K - 75K</v>
      </c>
      <c r="P173" s="2" t="s">
        <v>92</v>
      </c>
    </row>
    <row r="174" spans="1:16">
      <c r="A174" s="2" t="s">
        <v>375</v>
      </c>
      <c r="B174" s="2" t="s">
        <v>376</v>
      </c>
      <c r="C174" s="2" t="s">
        <v>285</v>
      </c>
      <c r="D174" s="2" t="s">
        <v>19</v>
      </c>
      <c r="E174" s="15">
        <v>0</v>
      </c>
      <c r="F174" s="3">
        <v>131.9</v>
      </c>
      <c r="G174" s="3">
        <v>148.4</v>
      </c>
      <c r="H174" s="3">
        <v>0.1</v>
      </c>
      <c r="I174" s="3">
        <v>0.1</v>
      </c>
      <c r="J174" s="3">
        <v>16.5</v>
      </c>
      <c r="K174" s="3">
        <v>12.5</v>
      </c>
      <c r="L174" s="3">
        <v>0.1</v>
      </c>
      <c r="M174" s="3">
        <v>14.9</v>
      </c>
      <c r="N174" s="4">
        <v>83910</v>
      </c>
      <c r="O174" s="4" t="str" cm="1">
        <f t="array" ref="O174">_xlfn.IFS(N174&lt;45000,"Under 45K",N174&lt;75000,"45K - 75K",N174&lt;100000,"75K - 100K",N174&gt;=100000,"Over 100K")</f>
        <v>75K - 100K</v>
      </c>
      <c r="P174" s="2" t="s">
        <v>23</v>
      </c>
    </row>
    <row r="175" spans="1:16">
      <c r="A175" s="2" t="s">
        <v>377</v>
      </c>
      <c r="B175" s="2" t="s">
        <v>378</v>
      </c>
      <c r="C175" s="2" t="s">
        <v>285</v>
      </c>
      <c r="D175" s="2" t="s">
        <v>19</v>
      </c>
      <c r="E175" s="15">
        <v>0</v>
      </c>
      <c r="F175" s="3">
        <v>31.9</v>
      </c>
      <c r="G175" s="3">
        <v>34.6</v>
      </c>
      <c r="H175" s="3">
        <v>0</v>
      </c>
      <c r="I175" s="3">
        <v>0</v>
      </c>
      <c r="J175" s="3">
        <v>2.7</v>
      </c>
      <c r="K175" s="3">
        <v>8.5</v>
      </c>
      <c r="L175" s="3" t="s">
        <v>30</v>
      </c>
      <c r="M175" s="3">
        <v>3.4</v>
      </c>
      <c r="N175" s="4">
        <v>58440</v>
      </c>
      <c r="O175" s="4" t="str" cm="1">
        <f t="array" ref="O175">_xlfn.IFS(N175&lt;45000,"Under 45K",N175&lt;75000,"45K - 75K",N175&lt;100000,"75K - 100K",N175&gt;=100000,"Over 100K")</f>
        <v>45K - 75K</v>
      </c>
      <c r="P175" s="2" t="s">
        <v>47</v>
      </c>
    </row>
    <row r="176" spans="1:16">
      <c r="A176" s="2" t="s">
        <v>379</v>
      </c>
      <c r="B176" s="2" t="s">
        <v>380</v>
      </c>
      <c r="C176" s="2" t="s">
        <v>285</v>
      </c>
      <c r="D176" s="2" t="s">
        <v>19</v>
      </c>
      <c r="E176" s="2">
        <v>-0.18438099999999999</v>
      </c>
      <c r="F176" s="3">
        <v>13.8</v>
      </c>
      <c r="G176" s="3">
        <v>14</v>
      </c>
      <c r="H176" s="3">
        <v>0</v>
      </c>
      <c r="I176" s="3">
        <v>0</v>
      </c>
      <c r="J176" s="3">
        <v>0.2</v>
      </c>
      <c r="K176" s="3">
        <v>1.2</v>
      </c>
      <c r="L176" s="3">
        <v>3.4</v>
      </c>
      <c r="M176" s="3">
        <v>1.1000000000000001</v>
      </c>
      <c r="N176" s="4">
        <v>70660</v>
      </c>
      <c r="O176" s="4" t="str" cm="1">
        <f t="array" ref="O176">_xlfn.IFS(N176&lt;45000,"Under 45K",N176&lt;75000,"45K - 75K",N176&lt;100000,"75K - 100K",N176&gt;=100000,"Over 100K")</f>
        <v>45K - 75K</v>
      </c>
      <c r="P176" s="2" t="s">
        <v>23</v>
      </c>
    </row>
    <row r="177" spans="1:16">
      <c r="A177" s="2" t="s">
        <v>381</v>
      </c>
      <c r="B177" s="2" t="s">
        <v>382</v>
      </c>
      <c r="C177" s="2" t="s">
        <v>383</v>
      </c>
      <c r="D177" s="2" t="s">
        <v>19</v>
      </c>
      <c r="E177" s="2">
        <v>1.367434</v>
      </c>
      <c r="F177" s="3">
        <v>77.8</v>
      </c>
      <c r="G177" s="3">
        <v>87.7</v>
      </c>
      <c r="H177" s="3">
        <v>0</v>
      </c>
      <c r="I177" s="3">
        <v>0.1</v>
      </c>
      <c r="J177" s="3">
        <v>9.8000000000000007</v>
      </c>
      <c r="K177" s="3">
        <v>12.6</v>
      </c>
      <c r="L177" s="3">
        <v>12.8</v>
      </c>
      <c r="M177" s="3">
        <v>7.7</v>
      </c>
      <c r="N177" s="4">
        <v>63780</v>
      </c>
      <c r="O177" s="4" t="str" cm="1">
        <f t="array" ref="O177">_xlfn.IFS(N177&lt;45000,"Under 45K",N177&lt;75000,"45K - 75K",N177&lt;100000,"75K - 100K",N177&gt;=100000,"Over 100K")</f>
        <v>45K - 75K</v>
      </c>
      <c r="P177" s="2" t="s">
        <v>20</v>
      </c>
    </row>
    <row r="178" spans="1:16">
      <c r="A178" s="2" t="s">
        <v>384</v>
      </c>
      <c r="B178" s="2" t="s">
        <v>385</v>
      </c>
      <c r="C178" s="2" t="s">
        <v>383</v>
      </c>
      <c r="D178" s="2" t="s">
        <v>19</v>
      </c>
      <c r="E178" s="2">
        <v>1.282559</v>
      </c>
      <c r="F178" s="3">
        <v>262</v>
      </c>
      <c r="G178" s="3">
        <v>264.60000000000002</v>
      </c>
      <c r="H178" s="3">
        <v>0.2</v>
      </c>
      <c r="I178" s="3">
        <v>0.2</v>
      </c>
      <c r="J178" s="3">
        <v>2.6</v>
      </c>
      <c r="K178" s="3">
        <v>1</v>
      </c>
      <c r="L178" s="3">
        <v>5.7</v>
      </c>
      <c r="M178" s="3">
        <v>23</v>
      </c>
      <c r="N178" s="4">
        <v>60820</v>
      </c>
      <c r="O178" s="4" t="str" cm="1">
        <f t="array" ref="O178">_xlfn.IFS(N178&lt;45000,"Under 45K",N178&lt;75000,"45K - 75K",N178&lt;100000,"75K - 100K",N178&gt;=100000,"Over 100K")</f>
        <v>45K - 75K</v>
      </c>
      <c r="P178" s="2" t="s">
        <v>23</v>
      </c>
    </row>
    <row r="179" spans="1:16">
      <c r="A179" s="2" t="s">
        <v>386</v>
      </c>
      <c r="B179" s="2" t="s">
        <v>387</v>
      </c>
      <c r="C179" s="2" t="s">
        <v>383</v>
      </c>
      <c r="D179" s="2" t="s">
        <v>19</v>
      </c>
      <c r="E179" s="2">
        <v>1.2109220000000001</v>
      </c>
      <c r="F179" s="3">
        <v>138.9</v>
      </c>
      <c r="G179" s="3">
        <v>141.80000000000001</v>
      </c>
      <c r="H179" s="3">
        <v>0.1</v>
      </c>
      <c r="I179" s="3">
        <v>0.1</v>
      </c>
      <c r="J179" s="3">
        <v>2.9</v>
      </c>
      <c r="K179" s="3">
        <v>2.1</v>
      </c>
      <c r="L179" s="3">
        <v>0.2</v>
      </c>
      <c r="M179" s="3">
        <v>13.8</v>
      </c>
      <c r="N179" s="4">
        <v>54840</v>
      </c>
      <c r="O179" s="4" t="str" cm="1">
        <f t="array" ref="O179">_xlfn.IFS(N179&lt;45000,"Under 45K",N179&lt;75000,"45K - 75K",N179&lt;100000,"75K - 100K",N179&gt;=100000,"Over 100K")</f>
        <v>45K - 75K</v>
      </c>
      <c r="P179" s="2" t="s">
        <v>23</v>
      </c>
    </row>
    <row r="180" spans="1:16">
      <c r="A180" s="2" t="s">
        <v>388</v>
      </c>
      <c r="B180" s="2" t="s">
        <v>389</v>
      </c>
      <c r="C180" s="2" t="s">
        <v>383</v>
      </c>
      <c r="D180" s="2" t="s">
        <v>19</v>
      </c>
      <c r="E180" s="2">
        <v>1.119216</v>
      </c>
      <c r="F180" s="3">
        <v>136.80000000000001</v>
      </c>
      <c r="G180" s="3">
        <v>150.1</v>
      </c>
      <c r="H180" s="3">
        <v>0.1</v>
      </c>
      <c r="I180" s="3">
        <v>0.1</v>
      </c>
      <c r="J180" s="3">
        <v>13.3</v>
      </c>
      <c r="K180" s="3">
        <v>9.6999999999999993</v>
      </c>
      <c r="L180" s="3">
        <v>4.8</v>
      </c>
      <c r="M180" s="3">
        <v>13.5</v>
      </c>
      <c r="N180" s="4">
        <v>60060</v>
      </c>
      <c r="O180" s="4" t="str" cm="1">
        <f t="array" ref="O180">_xlfn.IFS(N180&lt;45000,"Under 45K",N180&lt;75000,"45K - 75K",N180&lt;100000,"75K - 100K",N180&gt;=100000,"Over 100K")</f>
        <v>45K - 75K</v>
      </c>
      <c r="P180" s="2" t="s">
        <v>20</v>
      </c>
    </row>
    <row r="181" spans="1:16">
      <c r="A181" s="2" t="s">
        <v>390</v>
      </c>
      <c r="B181" s="2" t="s">
        <v>391</v>
      </c>
      <c r="C181" s="2" t="s">
        <v>383</v>
      </c>
      <c r="D181" s="2" t="s">
        <v>19</v>
      </c>
      <c r="E181" s="2">
        <v>0.97392869999999998</v>
      </c>
      <c r="F181" s="3">
        <v>376.3</v>
      </c>
      <c r="G181" s="3">
        <v>389.6</v>
      </c>
      <c r="H181" s="3">
        <v>0.2</v>
      </c>
      <c r="I181" s="3">
        <v>0.2</v>
      </c>
      <c r="J181" s="3">
        <v>13.3</v>
      </c>
      <c r="K181" s="3">
        <v>3.5</v>
      </c>
      <c r="L181" s="3">
        <v>0.6</v>
      </c>
      <c r="M181" s="3">
        <v>31</v>
      </c>
      <c r="N181" s="4">
        <v>65140</v>
      </c>
      <c r="O181" s="4" t="str" cm="1">
        <f t="array" ref="O181">_xlfn.IFS(N181&lt;45000,"Under 45K",N181&lt;75000,"45K - 75K",N181&lt;100000,"75K - 100K",N181&gt;=100000,"Over 100K")</f>
        <v>45K - 75K</v>
      </c>
      <c r="P181" s="2" t="s">
        <v>20</v>
      </c>
    </row>
    <row r="182" spans="1:16">
      <c r="A182" s="2" t="s">
        <v>392</v>
      </c>
      <c r="B182" s="2" t="s">
        <v>393</v>
      </c>
      <c r="C182" s="2" t="s">
        <v>383</v>
      </c>
      <c r="D182" s="2" t="s">
        <v>19</v>
      </c>
      <c r="E182" s="2">
        <v>0.93396480000000004</v>
      </c>
      <c r="F182" s="3">
        <v>193.2</v>
      </c>
      <c r="G182" s="3">
        <v>208.1</v>
      </c>
      <c r="H182" s="3">
        <v>0.1</v>
      </c>
      <c r="I182" s="3">
        <v>0.1</v>
      </c>
      <c r="J182" s="3">
        <v>14.8</v>
      </c>
      <c r="K182" s="3">
        <v>7.7</v>
      </c>
      <c r="L182" s="3">
        <v>0.3</v>
      </c>
      <c r="M182" s="3">
        <v>18.399999999999999</v>
      </c>
      <c r="N182" s="4">
        <v>68090</v>
      </c>
      <c r="O182" s="4" t="str" cm="1">
        <f t="array" ref="O182">_xlfn.IFS(N182&lt;45000,"Under 45K",N182&lt;75000,"45K - 75K",N182&lt;100000,"75K - 100K",N182&gt;=100000,"Over 100K")</f>
        <v>45K - 75K</v>
      </c>
      <c r="P182" s="2" t="s">
        <v>20</v>
      </c>
    </row>
    <row r="183" spans="1:16">
      <c r="A183" s="2" t="s">
        <v>394</v>
      </c>
      <c r="B183" s="2" t="s">
        <v>395</v>
      </c>
      <c r="C183" s="2" t="s">
        <v>383</v>
      </c>
      <c r="D183" s="2" t="s">
        <v>19</v>
      </c>
      <c r="E183" s="2">
        <v>0.77617069999999999</v>
      </c>
      <c r="F183" s="3">
        <v>399.9</v>
      </c>
      <c r="G183" s="3">
        <v>413.3</v>
      </c>
      <c r="H183" s="3">
        <v>0.2</v>
      </c>
      <c r="I183" s="3">
        <v>0.2</v>
      </c>
      <c r="J183" s="3">
        <v>13.4</v>
      </c>
      <c r="K183" s="3">
        <v>3.4</v>
      </c>
      <c r="L183" s="3">
        <v>0.2</v>
      </c>
      <c r="M183" s="3">
        <v>35.1</v>
      </c>
      <c r="N183" s="4">
        <v>58570</v>
      </c>
      <c r="O183" s="4" t="str" cm="1">
        <f t="array" ref="O183">_xlfn.IFS(N183&lt;45000,"Under 45K",N183&lt;75000,"45K - 75K",N183&lt;100000,"75K - 100K",N183&gt;=100000,"Over 100K")</f>
        <v>45K - 75K</v>
      </c>
      <c r="P183" s="2" t="s">
        <v>23</v>
      </c>
    </row>
    <row r="184" spans="1:16">
      <c r="A184" s="2" t="s">
        <v>396</v>
      </c>
      <c r="B184" s="2" t="s">
        <v>397</v>
      </c>
      <c r="C184" s="2" t="s">
        <v>383</v>
      </c>
      <c r="D184" s="2" t="s">
        <v>19</v>
      </c>
      <c r="E184" s="2">
        <v>0.691658</v>
      </c>
      <c r="F184" s="3">
        <v>71.8</v>
      </c>
      <c r="G184" s="3">
        <v>75</v>
      </c>
      <c r="H184" s="3">
        <v>0</v>
      </c>
      <c r="I184" s="3">
        <v>0</v>
      </c>
      <c r="J184" s="3">
        <v>3.2</v>
      </c>
      <c r="K184" s="3">
        <v>4.5</v>
      </c>
      <c r="L184" s="3">
        <v>0.6</v>
      </c>
      <c r="M184" s="3">
        <v>7.9</v>
      </c>
      <c r="N184" s="4">
        <v>63000</v>
      </c>
      <c r="O184" s="4" t="str" cm="1">
        <f t="array" ref="O184">_xlfn.IFS(N184&lt;45000,"Under 45K",N184&lt;75000,"45K - 75K",N184&lt;100000,"75K - 100K",N184&gt;=100000,"Over 100K")</f>
        <v>45K - 75K</v>
      </c>
      <c r="P184" s="2" t="s">
        <v>23</v>
      </c>
    </row>
    <row r="185" spans="1:16">
      <c r="A185" s="2" t="s">
        <v>398</v>
      </c>
      <c r="B185" s="2" t="s">
        <v>399</v>
      </c>
      <c r="C185" s="2" t="s">
        <v>383</v>
      </c>
      <c r="D185" s="2" t="s">
        <v>19</v>
      </c>
      <c r="E185" s="2">
        <v>0.52724479999999996</v>
      </c>
      <c r="F185" s="3">
        <v>92.3</v>
      </c>
      <c r="G185" s="3">
        <v>94.8</v>
      </c>
      <c r="H185" s="3">
        <v>0.1</v>
      </c>
      <c r="I185" s="3">
        <v>0.1</v>
      </c>
      <c r="J185" s="3">
        <v>2.4</v>
      </c>
      <c r="K185" s="3">
        <v>2.6</v>
      </c>
      <c r="L185" s="3" t="s">
        <v>30</v>
      </c>
      <c r="M185" s="3">
        <v>7.9</v>
      </c>
      <c r="N185" s="4">
        <v>64520</v>
      </c>
      <c r="O185" s="4" t="str" cm="1">
        <f t="array" ref="O185">_xlfn.IFS(N185&lt;45000,"Under 45K",N185&lt;75000,"45K - 75K",N185&lt;100000,"75K - 100K",N185&gt;=100000,"Over 100K")</f>
        <v>45K - 75K</v>
      </c>
      <c r="P185" s="2" t="s">
        <v>23</v>
      </c>
    </row>
    <row r="186" spans="1:16">
      <c r="A186" s="2" t="s">
        <v>400</v>
      </c>
      <c r="B186" s="2" t="s">
        <v>401</v>
      </c>
      <c r="C186" s="2" t="s">
        <v>383</v>
      </c>
      <c r="D186" s="2" t="s">
        <v>19</v>
      </c>
      <c r="E186" s="2">
        <v>0.50250139999999999</v>
      </c>
      <c r="F186" s="3">
        <v>91.9</v>
      </c>
      <c r="G186" s="3">
        <v>93.2</v>
      </c>
      <c r="H186" s="3">
        <v>0.1</v>
      </c>
      <c r="I186" s="3">
        <v>0.1</v>
      </c>
      <c r="J186" s="3">
        <v>1.3</v>
      </c>
      <c r="K186" s="3">
        <v>1.4</v>
      </c>
      <c r="L186" s="3" t="s">
        <v>30</v>
      </c>
      <c r="M186" s="3">
        <v>10</v>
      </c>
      <c r="N186" s="4">
        <v>46110</v>
      </c>
      <c r="O186" s="4" t="str" cm="1">
        <f t="array" ref="O186">_xlfn.IFS(N186&lt;45000,"Under 45K",N186&lt;75000,"45K - 75K",N186&lt;100000,"75K - 100K",N186&gt;=100000,"Over 100K")</f>
        <v>45K - 75K</v>
      </c>
      <c r="P186" s="2" t="s">
        <v>20</v>
      </c>
    </row>
    <row r="187" spans="1:16">
      <c r="A187" s="2" t="s">
        <v>402</v>
      </c>
      <c r="B187" s="2" t="s">
        <v>403</v>
      </c>
      <c r="C187" s="2" t="s">
        <v>383</v>
      </c>
      <c r="D187" s="2" t="s">
        <v>19</v>
      </c>
      <c r="E187" s="2">
        <v>0.46522550000000001</v>
      </c>
      <c r="F187" s="3">
        <v>449.6</v>
      </c>
      <c r="G187" s="3">
        <v>478.5</v>
      </c>
      <c r="H187" s="3">
        <v>0.3</v>
      </c>
      <c r="I187" s="3">
        <v>0.3</v>
      </c>
      <c r="J187" s="3">
        <v>28.9</v>
      </c>
      <c r="K187" s="3">
        <v>6.4</v>
      </c>
      <c r="L187" s="3">
        <v>0.3</v>
      </c>
      <c r="M187" s="3">
        <v>50.6</v>
      </c>
      <c r="N187" s="4">
        <v>45120</v>
      </c>
      <c r="O187" s="4" t="str" cm="1">
        <f t="array" ref="O187">_xlfn.IFS(N187&lt;45000,"Under 45K",N187&lt;75000,"45K - 75K",N187&lt;100000,"75K - 100K",N187&gt;=100000,"Over 100K")</f>
        <v>45K - 75K</v>
      </c>
      <c r="P187" s="2" t="s">
        <v>47</v>
      </c>
    </row>
    <row r="188" spans="1:16">
      <c r="A188" s="2" t="s">
        <v>404</v>
      </c>
      <c r="B188" s="2" t="s">
        <v>405</v>
      </c>
      <c r="C188" s="2" t="s">
        <v>383</v>
      </c>
      <c r="D188" s="2" t="s">
        <v>19</v>
      </c>
      <c r="E188" s="2">
        <v>3.71229E-2</v>
      </c>
      <c r="F188" s="3">
        <v>65.099999999999994</v>
      </c>
      <c r="G188" s="3">
        <v>72.5</v>
      </c>
      <c r="H188" s="3">
        <v>0</v>
      </c>
      <c r="I188" s="3">
        <v>0</v>
      </c>
      <c r="J188" s="3">
        <v>7.4</v>
      </c>
      <c r="K188" s="3">
        <v>11.3</v>
      </c>
      <c r="L188" s="3">
        <v>0.8</v>
      </c>
      <c r="M188" s="3">
        <v>7.8</v>
      </c>
      <c r="N188" s="4">
        <v>51030</v>
      </c>
      <c r="O188" s="4" t="str" cm="1">
        <f t="array" ref="O188">_xlfn.IFS(N188&lt;45000,"Under 45K",N188&lt;75000,"45K - 75K",N188&lt;100000,"75K - 100K",N188&gt;=100000,"Over 100K")</f>
        <v>45K - 75K</v>
      </c>
      <c r="P188" s="2" t="s">
        <v>47</v>
      </c>
    </row>
    <row r="189" spans="1:16">
      <c r="A189" s="2" t="s">
        <v>406</v>
      </c>
      <c r="B189" s="2" t="s">
        <v>407</v>
      </c>
      <c r="C189" s="2" t="s">
        <v>383</v>
      </c>
      <c r="D189" s="2" t="s">
        <v>19</v>
      </c>
      <c r="E189" s="15">
        <v>0</v>
      </c>
      <c r="F189" s="3">
        <v>483.5</v>
      </c>
      <c r="G189" s="3">
        <v>564.6</v>
      </c>
      <c r="H189" s="3">
        <v>0.3</v>
      </c>
      <c r="I189" s="3">
        <v>0.3</v>
      </c>
      <c r="J189" s="3">
        <v>81</v>
      </c>
      <c r="K189" s="3">
        <v>16.8</v>
      </c>
      <c r="L189" s="3">
        <v>5.9</v>
      </c>
      <c r="M189" s="3">
        <v>48.3</v>
      </c>
      <c r="N189" s="4">
        <v>59190</v>
      </c>
      <c r="O189" s="4" t="str" cm="1">
        <f t="array" ref="O189">_xlfn.IFS(N189&lt;45000,"Under 45K",N189&lt;75000,"45K - 75K",N189&lt;100000,"75K - 100K",N189&gt;=100000,"Over 100K")</f>
        <v>45K - 75K</v>
      </c>
      <c r="P189" s="2" t="s">
        <v>20</v>
      </c>
    </row>
    <row r="190" spans="1:16">
      <c r="A190" s="2" t="s">
        <v>408</v>
      </c>
      <c r="B190" s="2" t="s">
        <v>409</v>
      </c>
      <c r="C190" s="2" t="s">
        <v>383</v>
      </c>
      <c r="D190" s="2" t="s">
        <v>19</v>
      </c>
      <c r="E190" s="15">
        <v>0</v>
      </c>
      <c r="F190" s="3">
        <v>69.099999999999994</v>
      </c>
      <c r="G190" s="3">
        <v>77.8</v>
      </c>
      <c r="H190" s="3">
        <v>0</v>
      </c>
      <c r="I190" s="3">
        <v>0</v>
      </c>
      <c r="J190" s="3">
        <v>8.6999999999999993</v>
      </c>
      <c r="K190" s="3">
        <v>12.6</v>
      </c>
      <c r="L190" s="3">
        <v>48.2</v>
      </c>
      <c r="M190" s="3">
        <v>7.4</v>
      </c>
      <c r="N190" s="4">
        <v>49830</v>
      </c>
      <c r="O190" s="4" t="str" cm="1">
        <f t="array" ref="O190">_xlfn.IFS(N190&lt;45000,"Under 45K",N190&lt;75000,"45K - 75K",N190&lt;100000,"75K - 100K",N190&gt;=100000,"Over 100K")</f>
        <v>45K - 75K</v>
      </c>
      <c r="P190" s="2" t="s">
        <v>20</v>
      </c>
    </row>
    <row r="191" spans="1:16">
      <c r="A191" s="2" t="s">
        <v>410</v>
      </c>
      <c r="B191" s="2" t="s">
        <v>411</v>
      </c>
      <c r="C191" s="2" t="s">
        <v>383</v>
      </c>
      <c r="D191" s="2" t="s">
        <v>19</v>
      </c>
      <c r="E191" s="15">
        <v>0</v>
      </c>
      <c r="F191" s="3">
        <v>81</v>
      </c>
      <c r="G191" s="3">
        <v>84.1</v>
      </c>
      <c r="H191" s="3">
        <v>0</v>
      </c>
      <c r="I191" s="3">
        <v>0</v>
      </c>
      <c r="J191" s="3">
        <v>3.1</v>
      </c>
      <c r="K191" s="3">
        <v>3.9</v>
      </c>
      <c r="L191" s="3">
        <v>14.5</v>
      </c>
      <c r="M191" s="3">
        <v>7</v>
      </c>
      <c r="N191" s="4">
        <v>69480</v>
      </c>
      <c r="O191" s="4" t="str" cm="1">
        <f t="array" ref="O191">_xlfn.IFS(N191&lt;45000,"Under 45K",N191&lt;75000,"45K - 75K",N191&lt;100000,"75K - 100K",N191&gt;=100000,"Over 100K")</f>
        <v>45K - 75K</v>
      </c>
      <c r="P191" s="2" t="s">
        <v>23</v>
      </c>
    </row>
    <row r="192" spans="1:16">
      <c r="A192" s="2" t="s">
        <v>412</v>
      </c>
      <c r="B192" s="2" t="s">
        <v>413</v>
      </c>
      <c r="C192" s="2" t="s">
        <v>383</v>
      </c>
      <c r="D192" s="2" t="s">
        <v>19</v>
      </c>
      <c r="E192" s="15">
        <v>0</v>
      </c>
      <c r="F192" s="3">
        <v>119.2</v>
      </c>
      <c r="G192" s="3">
        <v>124.7</v>
      </c>
      <c r="H192" s="3">
        <v>0.1</v>
      </c>
      <c r="I192" s="3">
        <v>0.1</v>
      </c>
      <c r="J192" s="3">
        <v>5.5</v>
      </c>
      <c r="K192" s="3">
        <v>4.5999999999999996</v>
      </c>
      <c r="L192" s="3">
        <v>0.6</v>
      </c>
      <c r="M192" s="3">
        <v>13.1</v>
      </c>
      <c r="N192" s="4">
        <v>54940</v>
      </c>
      <c r="O192" s="4" t="str" cm="1">
        <f t="array" ref="O192">_xlfn.IFS(N192&lt;45000,"Under 45K",N192&lt;75000,"45K - 75K",N192&lt;100000,"75K - 100K",N192&gt;=100000,"Over 100K")</f>
        <v>45K - 75K</v>
      </c>
      <c r="P192" s="2" t="s">
        <v>23</v>
      </c>
    </row>
    <row r="193" spans="1:16">
      <c r="A193" s="2" t="s">
        <v>414</v>
      </c>
      <c r="B193" s="2" t="s">
        <v>415</v>
      </c>
      <c r="C193" s="2" t="s">
        <v>383</v>
      </c>
      <c r="D193" s="2" t="s">
        <v>19</v>
      </c>
      <c r="E193" s="15">
        <v>0</v>
      </c>
      <c r="F193" s="3">
        <v>88.4</v>
      </c>
      <c r="G193" s="3">
        <v>89</v>
      </c>
      <c r="H193" s="3">
        <v>0.1</v>
      </c>
      <c r="I193" s="3">
        <v>0.1</v>
      </c>
      <c r="J193" s="3">
        <v>0.6</v>
      </c>
      <c r="K193" s="3">
        <v>0.6</v>
      </c>
      <c r="L193" s="3">
        <v>6.5</v>
      </c>
      <c r="M193" s="3">
        <v>11.1</v>
      </c>
      <c r="N193" s="4">
        <v>45120</v>
      </c>
      <c r="O193" s="4" t="str" cm="1">
        <f t="array" ref="O193">_xlfn.IFS(N193&lt;45000,"Under 45K",N193&lt;75000,"45K - 75K",N193&lt;100000,"75K - 100K",N193&gt;=100000,"Over 100K")</f>
        <v>45K - 75K</v>
      </c>
      <c r="P193" s="2" t="s">
        <v>23</v>
      </c>
    </row>
    <row r="194" spans="1:16">
      <c r="A194" s="2" t="s">
        <v>416</v>
      </c>
      <c r="B194" s="2" t="s">
        <v>417</v>
      </c>
      <c r="C194" s="2" t="s">
        <v>418</v>
      </c>
      <c r="D194" s="2" t="s">
        <v>19</v>
      </c>
      <c r="E194" s="2">
        <v>1.496494</v>
      </c>
      <c r="F194" s="3">
        <v>27.3</v>
      </c>
      <c r="G194" s="3">
        <v>28</v>
      </c>
      <c r="H194" s="3">
        <v>0</v>
      </c>
      <c r="I194" s="3">
        <v>0</v>
      </c>
      <c r="J194" s="3">
        <v>0.7</v>
      </c>
      <c r="K194" s="3">
        <v>2.5</v>
      </c>
      <c r="L194" s="3" t="s">
        <v>30</v>
      </c>
      <c r="M194" s="3">
        <v>0.9</v>
      </c>
      <c r="N194" s="4">
        <v>156210</v>
      </c>
      <c r="O194" s="4" t="str" cm="1">
        <f t="array" ref="O194">_xlfn.IFS(N194&lt;45000,"Under 45K",N194&lt;75000,"45K - 75K",N194&lt;100000,"75K - 100K",N194&gt;=100000,"Over 100K")</f>
        <v>Over 100K</v>
      </c>
      <c r="P194" s="2" t="s">
        <v>304</v>
      </c>
    </row>
    <row r="195" spans="1:16">
      <c r="A195" s="2" t="s">
        <v>419</v>
      </c>
      <c r="B195" s="2" t="s">
        <v>420</v>
      </c>
      <c r="C195" s="2" t="s">
        <v>418</v>
      </c>
      <c r="D195" s="2" t="s">
        <v>19</v>
      </c>
      <c r="E195" s="2">
        <v>1.4629730000000001</v>
      </c>
      <c r="F195" s="3">
        <v>14.5</v>
      </c>
      <c r="G195" s="3">
        <v>14.9</v>
      </c>
      <c r="H195" s="3">
        <v>0</v>
      </c>
      <c r="I195" s="3">
        <v>0</v>
      </c>
      <c r="J195" s="3">
        <v>0.4</v>
      </c>
      <c r="K195" s="3">
        <v>2.5</v>
      </c>
      <c r="L195" s="3">
        <v>2.7</v>
      </c>
      <c r="M195" s="3">
        <v>1</v>
      </c>
      <c r="N195" s="4">
        <v>60400</v>
      </c>
      <c r="O195" s="4" t="str" cm="1">
        <f t="array" ref="O195">_xlfn.IFS(N195&lt;45000,"Under 45K",N195&lt;75000,"45K - 75K",N195&lt;100000,"75K - 100K",N195&gt;=100000,"Over 100K")</f>
        <v>45K - 75K</v>
      </c>
      <c r="P195" s="2" t="s">
        <v>304</v>
      </c>
    </row>
    <row r="196" spans="1:16">
      <c r="A196" s="2" t="s">
        <v>421</v>
      </c>
      <c r="B196" s="2" t="s">
        <v>422</v>
      </c>
      <c r="C196" s="2" t="s">
        <v>418</v>
      </c>
      <c r="D196" s="2" t="s">
        <v>19</v>
      </c>
      <c r="E196" s="2">
        <v>1.4315929999999999</v>
      </c>
      <c r="F196" s="3">
        <v>9.1</v>
      </c>
      <c r="G196" s="3">
        <v>9.5</v>
      </c>
      <c r="H196" s="3">
        <v>0</v>
      </c>
      <c r="I196" s="3">
        <v>0</v>
      </c>
      <c r="J196" s="3">
        <v>0.4</v>
      </c>
      <c r="K196" s="3">
        <v>4.3</v>
      </c>
      <c r="L196" s="3">
        <v>9.1</v>
      </c>
      <c r="M196" s="3">
        <v>0.3</v>
      </c>
      <c r="N196" s="4">
        <v>67710</v>
      </c>
      <c r="O196" s="4" t="str" cm="1">
        <f t="array" ref="O196">_xlfn.IFS(N196&lt;45000,"Under 45K",N196&lt;75000,"45K - 75K",N196&lt;100000,"75K - 100K",N196&gt;=100000,"Over 100K")</f>
        <v>45K - 75K</v>
      </c>
      <c r="P196" s="2" t="s">
        <v>23</v>
      </c>
    </row>
    <row r="197" spans="1:16">
      <c r="A197" s="2" t="s">
        <v>423</v>
      </c>
      <c r="B197" s="2" t="s">
        <v>424</v>
      </c>
      <c r="C197" s="2" t="s">
        <v>418</v>
      </c>
      <c r="D197" s="2" t="s">
        <v>19</v>
      </c>
      <c r="E197" s="2">
        <v>1.374714</v>
      </c>
      <c r="F197" s="3">
        <v>17.5</v>
      </c>
      <c r="G197" s="3">
        <v>17.399999999999999</v>
      </c>
      <c r="H197" s="3">
        <v>0</v>
      </c>
      <c r="I197" s="3">
        <v>0</v>
      </c>
      <c r="J197" s="3">
        <v>-0.1</v>
      </c>
      <c r="K197" s="3">
        <v>-0.7</v>
      </c>
      <c r="L197" s="3" t="s">
        <v>30</v>
      </c>
      <c r="M197" s="3">
        <v>0.5</v>
      </c>
      <c r="N197" s="4">
        <v>115230</v>
      </c>
      <c r="O197" s="4" t="str" cm="1">
        <f t="array" ref="O197">_xlfn.IFS(N197&lt;45000,"Under 45K",N197&lt;75000,"45K - 75K",N197&lt;100000,"75K - 100K",N197&gt;=100000,"Over 100K")</f>
        <v>Over 100K</v>
      </c>
      <c r="P197" s="2" t="s">
        <v>304</v>
      </c>
    </row>
    <row r="198" spans="1:16">
      <c r="A198" s="2" t="s">
        <v>425</v>
      </c>
      <c r="B198" s="2" t="s">
        <v>426</v>
      </c>
      <c r="C198" s="2" t="s">
        <v>418</v>
      </c>
      <c r="D198" s="2" t="s">
        <v>19</v>
      </c>
      <c r="E198" s="2">
        <v>1.328783</v>
      </c>
      <c r="F198" s="3">
        <v>864.8</v>
      </c>
      <c r="G198" s="3">
        <v>900.7</v>
      </c>
      <c r="H198" s="3">
        <v>0.5</v>
      </c>
      <c r="I198" s="3">
        <v>0.5</v>
      </c>
      <c r="J198" s="3">
        <v>35.9</v>
      </c>
      <c r="K198" s="3">
        <v>4.0999999999999996</v>
      </c>
      <c r="L198" s="3">
        <v>11.9</v>
      </c>
      <c r="M198" s="3">
        <v>31.5</v>
      </c>
      <c r="N198" s="4">
        <v>151160</v>
      </c>
      <c r="O198" s="4" t="str" cm="1">
        <f t="array" ref="O198">_xlfn.IFS(N198&lt;45000,"Under 45K",N198&lt;75000,"45K - 75K",N198&lt;100000,"75K - 100K",N198&gt;=100000,"Over 100K")</f>
        <v>Over 100K</v>
      </c>
      <c r="P198" s="2" t="s">
        <v>304</v>
      </c>
    </row>
    <row r="199" spans="1:16">
      <c r="A199" s="2" t="s">
        <v>427</v>
      </c>
      <c r="B199" s="2" t="s">
        <v>428</v>
      </c>
      <c r="C199" s="2" t="s">
        <v>418</v>
      </c>
      <c r="D199" s="2" t="s">
        <v>19</v>
      </c>
      <c r="E199" s="2">
        <v>1.292055</v>
      </c>
      <c r="F199" s="3">
        <v>376.2</v>
      </c>
      <c r="G199" s="3">
        <v>376.8</v>
      </c>
      <c r="H199" s="3">
        <v>0.2</v>
      </c>
      <c r="I199" s="3">
        <v>0.2</v>
      </c>
      <c r="J199" s="3">
        <v>0.6</v>
      </c>
      <c r="K199" s="3">
        <v>0.2</v>
      </c>
      <c r="L199" s="3">
        <v>1.4</v>
      </c>
      <c r="M199" s="3">
        <v>39.299999999999997</v>
      </c>
      <c r="N199" s="4">
        <v>61010</v>
      </c>
      <c r="O199" s="4" t="str" cm="1">
        <f t="array" ref="O199">_xlfn.IFS(N199&lt;45000,"Under 45K",N199&lt;75000,"45K - 75K",N199&lt;100000,"75K - 100K",N199&gt;=100000,"Over 100K")</f>
        <v>45K - 75K</v>
      </c>
      <c r="P199" s="2" t="s">
        <v>92</v>
      </c>
    </row>
    <row r="200" spans="1:16">
      <c r="A200" s="2" t="s">
        <v>429</v>
      </c>
      <c r="B200" s="2" t="s">
        <v>430</v>
      </c>
      <c r="C200" s="2" t="s">
        <v>418</v>
      </c>
      <c r="D200" s="2" t="s">
        <v>19</v>
      </c>
      <c r="E200" s="2">
        <v>1.279954</v>
      </c>
      <c r="F200" s="3">
        <v>57.4</v>
      </c>
      <c r="G200" s="3">
        <v>58.5</v>
      </c>
      <c r="H200" s="3">
        <v>0</v>
      </c>
      <c r="I200" s="3">
        <v>0</v>
      </c>
      <c r="J200" s="3">
        <v>1.1000000000000001</v>
      </c>
      <c r="K200" s="3">
        <v>2</v>
      </c>
      <c r="L200" s="3">
        <v>8.9</v>
      </c>
      <c r="M200" s="3">
        <v>5.4</v>
      </c>
      <c r="N200" s="4">
        <v>54980</v>
      </c>
      <c r="O200" s="4" t="str" cm="1">
        <f t="array" ref="O200">_xlfn.IFS(N200&lt;45000,"Under 45K",N200&lt;75000,"45K - 75K",N200&lt;100000,"75K - 100K",N200&gt;=100000,"Over 100K")</f>
        <v>45K - 75K</v>
      </c>
      <c r="P200" s="2" t="s">
        <v>47</v>
      </c>
    </row>
    <row r="201" spans="1:16">
      <c r="A201" s="2" t="s">
        <v>431</v>
      </c>
      <c r="B201" s="2" t="s">
        <v>432</v>
      </c>
      <c r="C201" s="2" t="s">
        <v>418</v>
      </c>
      <c r="D201" s="2" t="s">
        <v>19</v>
      </c>
      <c r="E201" s="15">
        <v>0</v>
      </c>
      <c r="F201" s="3">
        <v>51.3</v>
      </c>
      <c r="G201" s="3">
        <v>50.7</v>
      </c>
      <c r="H201" s="3">
        <v>0</v>
      </c>
      <c r="I201" s="3">
        <v>0</v>
      </c>
      <c r="J201" s="3">
        <v>-0.6</v>
      </c>
      <c r="K201" s="3">
        <v>-1.2</v>
      </c>
      <c r="L201" s="3">
        <v>2.8</v>
      </c>
      <c r="M201" s="3">
        <v>4.7</v>
      </c>
      <c r="N201" s="4">
        <v>68760</v>
      </c>
      <c r="O201" s="4" t="str" cm="1">
        <f t="array" ref="O201">_xlfn.IFS(N201&lt;45000,"Under 45K",N201&lt;75000,"45K - 75K",N201&lt;100000,"75K - 100K",N201&gt;=100000,"Over 100K")</f>
        <v>45K - 75K</v>
      </c>
      <c r="P201" s="2" t="s">
        <v>92</v>
      </c>
    </row>
    <row r="202" spans="1:16">
      <c r="A202" s="2" t="s">
        <v>433</v>
      </c>
      <c r="B202" s="2" t="s">
        <v>434</v>
      </c>
      <c r="C202" s="2" t="s">
        <v>435</v>
      </c>
      <c r="D202" s="2" t="s">
        <v>19</v>
      </c>
      <c r="E202" s="2">
        <v>1.4374899999999999</v>
      </c>
      <c r="F202" s="3">
        <v>24.6</v>
      </c>
      <c r="G202" s="3">
        <v>24.6</v>
      </c>
      <c r="H202" s="3">
        <v>0</v>
      </c>
      <c r="I202" s="3">
        <v>0</v>
      </c>
      <c r="J202" s="3">
        <v>-0.1</v>
      </c>
      <c r="K202" s="3">
        <v>-0.2</v>
      </c>
      <c r="L202" s="3">
        <v>0.2</v>
      </c>
      <c r="M202" s="3">
        <v>1.7</v>
      </c>
      <c r="N202" s="4">
        <v>81500</v>
      </c>
      <c r="O202" s="4" t="str" cm="1">
        <f t="array" ref="O202">_xlfn.IFS(N202&lt;45000,"Under 45K",N202&lt;75000,"45K - 75K",N202&lt;100000,"75K - 100K",N202&gt;=100000,"Over 100K")</f>
        <v>75K - 100K</v>
      </c>
      <c r="P202" s="2" t="s">
        <v>304</v>
      </c>
    </row>
    <row r="203" spans="1:16">
      <c r="A203" s="2" t="s">
        <v>436</v>
      </c>
      <c r="B203" s="2" t="s">
        <v>437</v>
      </c>
      <c r="C203" s="2" t="s">
        <v>435</v>
      </c>
      <c r="D203" s="2" t="s">
        <v>19</v>
      </c>
      <c r="E203" s="2">
        <v>1.4178329999999999</v>
      </c>
      <c r="F203" s="3">
        <v>72.2</v>
      </c>
      <c r="G203" s="3">
        <v>72.2</v>
      </c>
      <c r="H203" s="3">
        <v>0</v>
      </c>
      <c r="I203" s="3">
        <v>0</v>
      </c>
      <c r="J203" s="3">
        <v>0</v>
      </c>
      <c r="K203" s="3">
        <v>0</v>
      </c>
      <c r="L203" s="3">
        <v>0.2</v>
      </c>
      <c r="M203" s="3">
        <v>5.0999999999999996</v>
      </c>
      <c r="N203" s="4">
        <v>78270</v>
      </c>
      <c r="O203" s="4" t="str" cm="1">
        <f t="array" ref="O203">_xlfn.IFS(N203&lt;45000,"Under 45K",N203&lt;75000,"45K - 75K",N203&lt;100000,"75K - 100K",N203&gt;=100000,"Over 100K")</f>
        <v>75K - 100K</v>
      </c>
      <c r="P203" s="2" t="s">
        <v>304</v>
      </c>
    </row>
    <row r="204" spans="1:16">
      <c r="A204" s="2" t="s">
        <v>438</v>
      </c>
      <c r="B204" s="2" t="s">
        <v>439</v>
      </c>
      <c r="C204" s="2" t="s">
        <v>435</v>
      </c>
      <c r="D204" s="2" t="s">
        <v>19</v>
      </c>
      <c r="E204" s="2">
        <v>1.389999</v>
      </c>
      <c r="F204" s="3">
        <v>16.2</v>
      </c>
      <c r="G204" s="3">
        <v>16.5</v>
      </c>
      <c r="H204" s="3">
        <v>0</v>
      </c>
      <c r="I204" s="3">
        <v>0</v>
      </c>
      <c r="J204" s="3">
        <v>0.3</v>
      </c>
      <c r="K204" s="3">
        <v>2</v>
      </c>
      <c r="L204" s="3" t="s">
        <v>30</v>
      </c>
      <c r="M204" s="3">
        <v>1.2</v>
      </c>
      <c r="N204" s="4">
        <v>71470</v>
      </c>
      <c r="O204" s="4" t="str" cm="1">
        <f t="array" ref="O204">_xlfn.IFS(N204&lt;45000,"Under 45K",N204&lt;75000,"45K - 75K",N204&lt;100000,"75K - 100K",N204&gt;=100000,"Over 100K")</f>
        <v>45K - 75K</v>
      </c>
      <c r="P204" s="2" t="s">
        <v>304</v>
      </c>
    </row>
    <row r="205" spans="1:16">
      <c r="A205" s="2" t="s">
        <v>440</v>
      </c>
      <c r="B205" s="2" t="s">
        <v>441</v>
      </c>
      <c r="C205" s="2" t="s">
        <v>435</v>
      </c>
      <c r="D205" s="2" t="s">
        <v>19</v>
      </c>
      <c r="E205" s="2">
        <v>1.3862920000000001</v>
      </c>
      <c r="F205" s="3">
        <v>5.0999999999999996</v>
      </c>
      <c r="G205" s="3">
        <v>5.3</v>
      </c>
      <c r="H205" s="3">
        <v>0</v>
      </c>
      <c r="I205" s="3">
        <v>0</v>
      </c>
      <c r="J205" s="3">
        <v>0.2</v>
      </c>
      <c r="K205" s="3">
        <v>3</v>
      </c>
      <c r="L205" s="3" t="s">
        <v>30</v>
      </c>
      <c r="M205" s="3">
        <v>0.4</v>
      </c>
      <c r="N205" s="4">
        <v>78630</v>
      </c>
      <c r="O205" s="4" t="str" cm="1">
        <f t="array" ref="O205">_xlfn.IFS(N205&lt;45000,"Under 45K",N205&lt;75000,"45K - 75K",N205&lt;100000,"75K - 100K",N205&gt;=100000,"Over 100K")</f>
        <v>75K - 100K</v>
      </c>
      <c r="P205" s="2" t="s">
        <v>304</v>
      </c>
    </row>
    <row r="206" spans="1:16">
      <c r="A206" s="2" t="s">
        <v>442</v>
      </c>
      <c r="B206" s="2" t="s">
        <v>443</v>
      </c>
      <c r="C206" s="2" t="s">
        <v>435</v>
      </c>
      <c r="D206" s="2" t="s">
        <v>19</v>
      </c>
      <c r="E206" s="2">
        <v>1.3683970000000001</v>
      </c>
      <c r="F206" s="3">
        <v>21.8</v>
      </c>
      <c r="G206" s="3">
        <v>22.2</v>
      </c>
      <c r="H206" s="3">
        <v>0</v>
      </c>
      <c r="I206" s="3">
        <v>0</v>
      </c>
      <c r="J206" s="3">
        <v>0.4</v>
      </c>
      <c r="K206" s="3">
        <v>2</v>
      </c>
      <c r="L206" s="3">
        <v>0.3</v>
      </c>
      <c r="M206" s="3">
        <v>1.6</v>
      </c>
      <c r="N206" s="4">
        <v>94680</v>
      </c>
      <c r="O206" s="4" t="str" cm="1">
        <f t="array" ref="O206">_xlfn.IFS(N206&lt;45000,"Under 45K",N206&lt;75000,"45K - 75K",N206&lt;100000,"75K - 100K",N206&gt;=100000,"Over 100K")</f>
        <v>75K - 100K</v>
      </c>
      <c r="P206" s="2" t="s">
        <v>304</v>
      </c>
    </row>
    <row r="207" spans="1:16">
      <c r="A207" s="2" t="s">
        <v>444</v>
      </c>
      <c r="B207" s="2" t="s">
        <v>445</v>
      </c>
      <c r="C207" s="2" t="s">
        <v>435</v>
      </c>
      <c r="D207" s="2" t="s">
        <v>19</v>
      </c>
      <c r="E207" s="2">
        <v>1.3635219999999999</v>
      </c>
      <c r="F207" s="3">
        <v>27.3</v>
      </c>
      <c r="G207" s="3">
        <v>27.5</v>
      </c>
      <c r="H207" s="3">
        <v>0</v>
      </c>
      <c r="I207" s="3">
        <v>0</v>
      </c>
      <c r="J207" s="3">
        <v>0.2</v>
      </c>
      <c r="K207" s="3">
        <v>0.7</v>
      </c>
      <c r="L207" s="3">
        <v>0.5</v>
      </c>
      <c r="M207" s="3">
        <v>2</v>
      </c>
      <c r="N207" s="4">
        <v>78050</v>
      </c>
      <c r="O207" s="4" t="str" cm="1">
        <f t="array" ref="O207">_xlfn.IFS(N207&lt;45000,"Under 45K",N207&lt;75000,"45K - 75K",N207&lt;100000,"75K - 100K",N207&gt;=100000,"Over 100K")</f>
        <v>75K - 100K</v>
      </c>
      <c r="P207" s="2" t="s">
        <v>304</v>
      </c>
    </row>
    <row r="208" spans="1:16">
      <c r="A208" s="2" t="s">
        <v>446</v>
      </c>
      <c r="B208" s="2" t="s">
        <v>447</v>
      </c>
      <c r="C208" s="2" t="s">
        <v>435</v>
      </c>
      <c r="D208" s="2" t="s">
        <v>19</v>
      </c>
      <c r="E208" s="2">
        <v>1.3564499999999999</v>
      </c>
      <c r="F208" s="3">
        <v>29.5</v>
      </c>
      <c r="G208" s="3">
        <v>30.2</v>
      </c>
      <c r="H208" s="3">
        <v>0</v>
      </c>
      <c r="I208" s="3">
        <v>0</v>
      </c>
      <c r="J208" s="3">
        <v>0.6</v>
      </c>
      <c r="K208" s="3">
        <v>2.2000000000000002</v>
      </c>
      <c r="L208" s="3">
        <v>0.3</v>
      </c>
      <c r="M208" s="3">
        <v>2.2000000000000002</v>
      </c>
      <c r="N208" s="4">
        <v>126650</v>
      </c>
      <c r="O208" s="4" t="str" cm="1">
        <f t="array" ref="O208">_xlfn.IFS(N208&lt;45000,"Under 45K",N208&lt;75000,"45K - 75K",N208&lt;100000,"75K - 100K",N208&gt;=100000,"Over 100K")</f>
        <v>Over 100K</v>
      </c>
      <c r="P208" s="2" t="s">
        <v>304</v>
      </c>
    </row>
    <row r="209" spans="1:16">
      <c r="A209" s="2" t="s">
        <v>448</v>
      </c>
      <c r="B209" s="2" t="s">
        <v>449</v>
      </c>
      <c r="C209" s="2" t="s">
        <v>435</v>
      </c>
      <c r="D209" s="2" t="s">
        <v>19</v>
      </c>
      <c r="E209" s="2">
        <v>1.3511329999999999</v>
      </c>
      <c r="F209" s="3">
        <v>50.3</v>
      </c>
      <c r="G209" s="3">
        <v>54.4</v>
      </c>
      <c r="H209" s="3">
        <v>0</v>
      </c>
      <c r="I209" s="3">
        <v>0</v>
      </c>
      <c r="J209" s="3">
        <v>4.0999999999999996</v>
      </c>
      <c r="K209" s="3">
        <v>8.1</v>
      </c>
      <c r="L209" s="3">
        <v>0.2</v>
      </c>
      <c r="M209" s="3">
        <v>4.0999999999999996</v>
      </c>
      <c r="N209" s="4">
        <v>106120</v>
      </c>
      <c r="O209" s="4" t="str" cm="1">
        <f t="array" ref="O209">_xlfn.IFS(N209&lt;45000,"Under 45K",N209&lt;75000,"45K - 75K",N209&lt;100000,"75K - 100K",N209&gt;=100000,"Over 100K")</f>
        <v>Over 100K</v>
      </c>
      <c r="P209" s="2" t="s">
        <v>304</v>
      </c>
    </row>
    <row r="210" spans="1:16">
      <c r="A210" s="2" t="s">
        <v>450</v>
      </c>
      <c r="B210" s="2" t="s">
        <v>451</v>
      </c>
      <c r="C210" s="2" t="s">
        <v>435</v>
      </c>
      <c r="D210" s="2" t="s">
        <v>19</v>
      </c>
      <c r="E210" s="2">
        <v>1.3493139999999999</v>
      </c>
      <c r="F210" s="3">
        <v>103.1</v>
      </c>
      <c r="G210" s="3">
        <v>109</v>
      </c>
      <c r="H210" s="3">
        <v>0.1</v>
      </c>
      <c r="I210" s="3">
        <v>0.1</v>
      </c>
      <c r="J210" s="3">
        <v>5.8</v>
      </c>
      <c r="K210" s="3">
        <v>5.7</v>
      </c>
      <c r="L210" s="3">
        <v>0.3</v>
      </c>
      <c r="M210" s="3">
        <v>8.1</v>
      </c>
      <c r="N210" s="4">
        <v>97270</v>
      </c>
      <c r="O210" s="4" t="str" cm="1">
        <f t="array" ref="O210">_xlfn.IFS(N210&lt;45000,"Under 45K",N210&lt;75000,"45K - 75K",N210&lt;100000,"75K - 100K",N210&gt;=100000,"Over 100K")</f>
        <v>75K - 100K</v>
      </c>
      <c r="P210" s="2" t="s">
        <v>304</v>
      </c>
    </row>
    <row r="211" spans="1:16">
      <c r="A211" s="2" t="s">
        <v>452</v>
      </c>
      <c r="B211" s="2" t="s">
        <v>453</v>
      </c>
      <c r="C211" s="2" t="s">
        <v>435</v>
      </c>
      <c r="D211" s="2" t="s">
        <v>19</v>
      </c>
      <c r="E211" s="2">
        <v>1.349229</v>
      </c>
      <c r="F211" s="3">
        <v>15.4</v>
      </c>
      <c r="G211" s="3">
        <v>15.7</v>
      </c>
      <c r="H211" s="3">
        <v>0</v>
      </c>
      <c r="I211" s="3">
        <v>0</v>
      </c>
      <c r="J211" s="3">
        <v>0.3</v>
      </c>
      <c r="K211" s="3">
        <v>2.1</v>
      </c>
      <c r="L211" s="3" t="s">
        <v>30</v>
      </c>
      <c r="M211" s="3">
        <v>1.1000000000000001</v>
      </c>
      <c r="N211" s="4">
        <v>82540</v>
      </c>
      <c r="O211" s="4" t="str" cm="1">
        <f t="array" ref="O211">_xlfn.IFS(N211&lt;45000,"Under 45K",N211&lt;75000,"45K - 75K",N211&lt;100000,"75K - 100K",N211&gt;=100000,"Over 100K")</f>
        <v>75K - 100K</v>
      </c>
      <c r="P211" s="2" t="s">
        <v>304</v>
      </c>
    </row>
    <row r="212" spans="1:16">
      <c r="A212" s="2" t="s">
        <v>454</v>
      </c>
      <c r="B212" s="2" t="s">
        <v>455</v>
      </c>
      <c r="C212" s="2" t="s">
        <v>435</v>
      </c>
      <c r="D212" s="2" t="s">
        <v>19</v>
      </c>
      <c r="E212" s="2">
        <v>1.348951</v>
      </c>
      <c r="F212" s="3">
        <v>40.9</v>
      </c>
      <c r="G212" s="3">
        <v>35.299999999999997</v>
      </c>
      <c r="H212" s="3">
        <v>0</v>
      </c>
      <c r="I212" s="3">
        <v>0</v>
      </c>
      <c r="J212" s="3">
        <v>-5.6</v>
      </c>
      <c r="K212" s="3">
        <v>-13.7</v>
      </c>
      <c r="L212" s="3">
        <v>5.6</v>
      </c>
      <c r="M212" s="3">
        <v>3.9</v>
      </c>
      <c r="N212" s="4">
        <v>59950</v>
      </c>
      <c r="O212" s="4" t="str" cm="1">
        <f t="array" ref="O212">_xlfn.IFS(N212&lt;45000,"Under 45K",N212&lt;75000,"45K - 75K",N212&lt;100000,"75K - 100K",N212&gt;=100000,"Over 100K")</f>
        <v>45K - 75K</v>
      </c>
      <c r="P212" s="2" t="s">
        <v>23</v>
      </c>
    </row>
    <row r="213" spans="1:16">
      <c r="A213" s="2" t="s">
        <v>456</v>
      </c>
      <c r="B213" s="2" t="s">
        <v>457</v>
      </c>
      <c r="C213" s="2" t="s">
        <v>435</v>
      </c>
      <c r="D213" s="2" t="s">
        <v>19</v>
      </c>
      <c r="E213" s="2">
        <v>1.3475189999999999</v>
      </c>
      <c r="F213" s="3">
        <v>9</v>
      </c>
      <c r="G213" s="3">
        <v>9.3000000000000007</v>
      </c>
      <c r="H213" s="3">
        <v>0</v>
      </c>
      <c r="I213" s="3">
        <v>0</v>
      </c>
      <c r="J213" s="3">
        <v>0.3</v>
      </c>
      <c r="K213" s="3">
        <v>2.9</v>
      </c>
      <c r="L213" s="3" t="s">
        <v>30</v>
      </c>
      <c r="M213" s="3">
        <v>0.7</v>
      </c>
      <c r="N213" s="4">
        <v>87710</v>
      </c>
      <c r="O213" s="4" t="str" cm="1">
        <f t="array" ref="O213">_xlfn.IFS(N213&lt;45000,"Under 45K",N213&lt;75000,"45K - 75K",N213&lt;100000,"75K - 100K",N213&gt;=100000,"Over 100K")</f>
        <v>75K - 100K</v>
      </c>
      <c r="P213" s="2" t="s">
        <v>304</v>
      </c>
    </row>
    <row r="214" spans="1:16">
      <c r="A214" s="2" t="s">
        <v>458</v>
      </c>
      <c r="B214" s="2" t="s">
        <v>459</v>
      </c>
      <c r="C214" s="2" t="s">
        <v>435</v>
      </c>
      <c r="D214" s="2" t="s">
        <v>19</v>
      </c>
      <c r="E214" s="2">
        <v>1.3474349999999999</v>
      </c>
      <c r="F214" s="3">
        <v>35.799999999999997</v>
      </c>
      <c r="G214" s="3">
        <v>36.6</v>
      </c>
      <c r="H214" s="3">
        <v>0</v>
      </c>
      <c r="I214" s="3">
        <v>0</v>
      </c>
      <c r="J214" s="3">
        <v>0.8</v>
      </c>
      <c r="K214" s="3">
        <v>2.1</v>
      </c>
      <c r="L214" s="3">
        <v>0.2</v>
      </c>
      <c r="M214" s="3">
        <v>2.7</v>
      </c>
      <c r="N214" s="4">
        <v>77800</v>
      </c>
      <c r="O214" s="4" t="str" cm="1">
        <f t="array" ref="O214">_xlfn.IFS(N214&lt;45000,"Under 45K",N214&lt;75000,"45K - 75K",N214&lt;100000,"75K - 100K",N214&gt;=100000,"Over 100K")</f>
        <v>75K - 100K</v>
      </c>
      <c r="P214" s="2" t="s">
        <v>304</v>
      </c>
    </row>
    <row r="215" spans="1:16">
      <c r="A215" s="2" t="s">
        <v>460</v>
      </c>
      <c r="B215" s="2" t="s">
        <v>461</v>
      </c>
      <c r="C215" s="2" t="s">
        <v>435</v>
      </c>
      <c r="D215" s="2" t="s">
        <v>19</v>
      </c>
      <c r="E215" s="2">
        <v>1.3473269999999999</v>
      </c>
      <c r="F215" s="3">
        <v>17.100000000000001</v>
      </c>
      <c r="G215" s="3">
        <v>17.5</v>
      </c>
      <c r="H215" s="3">
        <v>0</v>
      </c>
      <c r="I215" s="3">
        <v>0</v>
      </c>
      <c r="J215" s="3">
        <v>0.4</v>
      </c>
      <c r="K215" s="3">
        <v>2.2999999999999998</v>
      </c>
      <c r="L215" s="3" t="s">
        <v>30</v>
      </c>
      <c r="M215" s="3">
        <v>1.3</v>
      </c>
      <c r="N215" s="4">
        <v>76210</v>
      </c>
      <c r="O215" s="4" t="str" cm="1">
        <f t="array" ref="O215">_xlfn.IFS(N215&lt;45000,"Under 45K",N215&lt;75000,"45K - 75K",N215&lt;100000,"75K - 100K",N215&gt;=100000,"Over 100K")</f>
        <v>75K - 100K</v>
      </c>
      <c r="P215" s="2" t="s">
        <v>304</v>
      </c>
    </row>
    <row r="216" spans="1:16">
      <c r="A216" s="2" t="s">
        <v>462</v>
      </c>
      <c r="B216" s="2" t="s">
        <v>463</v>
      </c>
      <c r="C216" s="2" t="s">
        <v>435</v>
      </c>
      <c r="D216" s="2" t="s">
        <v>19</v>
      </c>
      <c r="E216" s="2">
        <v>1.338676</v>
      </c>
      <c r="F216" s="3">
        <v>58.9</v>
      </c>
      <c r="G216" s="3">
        <v>60.2</v>
      </c>
      <c r="H216" s="3">
        <v>0</v>
      </c>
      <c r="I216" s="3">
        <v>0</v>
      </c>
      <c r="J216" s="3">
        <v>1.3</v>
      </c>
      <c r="K216" s="3">
        <v>2.2999999999999998</v>
      </c>
      <c r="L216" s="3">
        <v>0.2</v>
      </c>
      <c r="M216" s="3">
        <v>4.4000000000000004</v>
      </c>
      <c r="N216" s="4">
        <v>79350</v>
      </c>
      <c r="O216" s="4" t="str" cm="1">
        <f t="array" ref="O216">_xlfn.IFS(N216&lt;45000,"Under 45K",N216&lt;75000,"45K - 75K",N216&lt;100000,"75K - 100K",N216&gt;=100000,"Over 100K")</f>
        <v>75K - 100K</v>
      </c>
      <c r="P216" s="2" t="s">
        <v>304</v>
      </c>
    </row>
    <row r="217" spans="1:16">
      <c r="A217" s="2" t="s">
        <v>464</v>
      </c>
      <c r="B217" s="2" t="s">
        <v>465</v>
      </c>
      <c r="C217" s="2" t="s">
        <v>435</v>
      </c>
      <c r="D217" s="2" t="s">
        <v>19</v>
      </c>
      <c r="E217" s="2">
        <v>1.33412</v>
      </c>
      <c r="F217" s="3">
        <v>26.4</v>
      </c>
      <c r="G217" s="3">
        <v>26.4</v>
      </c>
      <c r="H217" s="3">
        <v>0</v>
      </c>
      <c r="I217" s="3">
        <v>0</v>
      </c>
      <c r="J217" s="3">
        <v>0</v>
      </c>
      <c r="K217" s="3">
        <v>-0.2</v>
      </c>
      <c r="L217" s="3">
        <v>0.3</v>
      </c>
      <c r="M217" s="3">
        <v>1.9</v>
      </c>
      <c r="N217" s="4">
        <v>77010</v>
      </c>
      <c r="O217" s="4" t="str" cm="1">
        <f t="array" ref="O217">_xlfn.IFS(N217&lt;45000,"Under 45K",N217&lt;75000,"45K - 75K",N217&lt;100000,"75K - 100K",N217&gt;=100000,"Over 100K")</f>
        <v>75K - 100K</v>
      </c>
      <c r="P217" s="2" t="s">
        <v>304</v>
      </c>
    </row>
    <row r="218" spans="1:16">
      <c r="A218" s="2" t="s">
        <v>466</v>
      </c>
      <c r="B218" s="2" t="s">
        <v>467</v>
      </c>
      <c r="C218" s="2" t="s">
        <v>435</v>
      </c>
      <c r="D218" s="2" t="s">
        <v>19</v>
      </c>
      <c r="E218" s="2">
        <v>1.333947</v>
      </c>
      <c r="F218" s="3">
        <v>25.4</v>
      </c>
      <c r="G218" s="3">
        <v>26</v>
      </c>
      <c r="H218" s="3">
        <v>0</v>
      </c>
      <c r="I218" s="3">
        <v>0</v>
      </c>
      <c r="J218" s="3">
        <v>0.6</v>
      </c>
      <c r="K218" s="3">
        <v>2.2000000000000002</v>
      </c>
      <c r="L218" s="3">
        <v>0.2</v>
      </c>
      <c r="M218" s="3">
        <v>1.9</v>
      </c>
      <c r="N218" s="4">
        <v>86220</v>
      </c>
      <c r="O218" s="4" t="str" cm="1">
        <f t="array" ref="O218">_xlfn.IFS(N218&lt;45000,"Under 45K",N218&lt;75000,"45K - 75K",N218&lt;100000,"75K - 100K",N218&gt;=100000,"Over 100K")</f>
        <v>75K - 100K</v>
      </c>
      <c r="P218" s="2" t="s">
        <v>304</v>
      </c>
    </row>
    <row r="219" spans="1:16">
      <c r="A219" s="2" t="s">
        <v>468</v>
      </c>
      <c r="B219" s="2" t="s">
        <v>469</v>
      </c>
      <c r="C219" s="2" t="s">
        <v>435</v>
      </c>
      <c r="D219" s="2" t="s">
        <v>19</v>
      </c>
      <c r="E219" s="2">
        <v>1.3336600000000001</v>
      </c>
      <c r="F219" s="3">
        <v>52.5</v>
      </c>
      <c r="G219" s="3">
        <v>54.4</v>
      </c>
      <c r="H219" s="3">
        <v>0</v>
      </c>
      <c r="I219" s="3">
        <v>0</v>
      </c>
      <c r="J219" s="3">
        <v>1.9</v>
      </c>
      <c r="K219" s="3">
        <v>3.6</v>
      </c>
      <c r="L219" s="3">
        <v>0.3</v>
      </c>
      <c r="M219" s="3">
        <v>4</v>
      </c>
      <c r="N219" s="4">
        <v>80330</v>
      </c>
      <c r="O219" s="4" t="str" cm="1">
        <f t="array" ref="O219">_xlfn.IFS(N219&lt;45000,"Under 45K",N219&lt;75000,"45K - 75K",N219&lt;100000,"75K - 100K",N219&gt;=100000,"Over 100K")</f>
        <v>75K - 100K</v>
      </c>
      <c r="P219" s="2" t="s">
        <v>304</v>
      </c>
    </row>
    <row r="220" spans="1:16">
      <c r="A220" s="2" t="s">
        <v>470</v>
      </c>
      <c r="B220" s="2" t="s">
        <v>471</v>
      </c>
      <c r="C220" s="2" t="s">
        <v>435</v>
      </c>
      <c r="D220" s="2" t="s">
        <v>19</v>
      </c>
      <c r="E220" s="2">
        <v>1.3253299999999999</v>
      </c>
      <c r="F220" s="3">
        <v>153.80000000000001</v>
      </c>
      <c r="G220" s="3">
        <v>153.5</v>
      </c>
      <c r="H220" s="3">
        <v>0.1</v>
      </c>
      <c r="I220" s="3">
        <v>0.1</v>
      </c>
      <c r="J220" s="3">
        <v>-0.2</v>
      </c>
      <c r="K220" s="3">
        <v>-0.1</v>
      </c>
      <c r="L220" s="3">
        <v>8.6</v>
      </c>
      <c r="M220" s="3">
        <v>18</v>
      </c>
      <c r="N220" s="4">
        <v>64690</v>
      </c>
      <c r="O220" s="4" t="str" cm="1">
        <f t="array" ref="O220">_xlfn.IFS(N220&lt;45000,"Under 45K",N220&lt;75000,"45K - 75K",N220&lt;100000,"75K - 100K",N220&gt;=100000,"Over 100K")</f>
        <v>45K - 75K</v>
      </c>
      <c r="P220" s="2" t="s">
        <v>23</v>
      </c>
    </row>
    <row r="221" spans="1:16">
      <c r="A221" s="2" t="s">
        <v>472</v>
      </c>
      <c r="B221" s="2" t="s">
        <v>473</v>
      </c>
      <c r="C221" s="2" t="s">
        <v>435</v>
      </c>
      <c r="D221" s="2" t="s">
        <v>19</v>
      </c>
      <c r="E221" s="2">
        <v>1.3216939999999999</v>
      </c>
      <c r="F221" s="3">
        <v>6.5</v>
      </c>
      <c r="G221" s="3">
        <v>6.7</v>
      </c>
      <c r="H221" s="3">
        <v>0</v>
      </c>
      <c r="I221" s="3">
        <v>0</v>
      </c>
      <c r="J221" s="3">
        <v>0.2</v>
      </c>
      <c r="K221" s="3">
        <v>2.7</v>
      </c>
      <c r="L221" s="3" t="s">
        <v>30</v>
      </c>
      <c r="M221" s="3">
        <v>0.5</v>
      </c>
      <c r="N221" s="4">
        <v>95770</v>
      </c>
      <c r="O221" s="4" t="str" cm="1">
        <f t="array" ref="O221">_xlfn.IFS(N221&lt;45000,"Under 45K",N221&lt;75000,"45K - 75K",N221&lt;100000,"75K - 100K",N221&gt;=100000,"Over 100K")</f>
        <v>75K - 100K</v>
      </c>
      <c r="P221" s="2" t="s">
        <v>304</v>
      </c>
    </row>
    <row r="222" spans="1:16">
      <c r="A222" s="2" t="s">
        <v>474</v>
      </c>
      <c r="B222" s="2" t="s">
        <v>475</v>
      </c>
      <c r="C222" s="2" t="s">
        <v>435</v>
      </c>
      <c r="D222" s="2" t="s">
        <v>19</v>
      </c>
      <c r="E222" s="2">
        <v>1.3190120000000001</v>
      </c>
      <c r="F222" s="3">
        <v>15.8</v>
      </c>
      <c r="G222" s="3">
        <v>16.100000000000001</v>
      </c>
      <c r="H222" s="3">
        <v>0</v>
      </c>
      <c r="I222" s="3">
        <v>0</v>
      </c>
      <c r="J222" s="3">
        <v>0.3</v>
      </c>
      <c r="K222" s="3">
        <v>2.1</v>
      </c>
      <c r="L222" s="3" t="s">
        <v>30</v>
      </c>
      <c r="M222" s="3">
        <v>1.2</v>
      </c>
      <c r="N222" s="4">
        <v>119980</v>
      </c>
      <c r="O222" s="4" t="str" cm="1">
        <f t="array" ref="O222">_xlfn.IFS(N222&lt;45000,"Under 45K",N222&lt;75000,"45K - 75K",N222&lt;100000,"75K - 100K",N222&gt;=100000,"Over 100K")</f>
        <v>Over 100K</v>
      </c>
      <c r="P222" s="2" t="s">
        <v>304</v>
      </c>
    </row>
    <row r="223" spans="1:16">
      <c r="A223" s="2" t="s">
        <v>476</v>
      </c>
      <c r="B223" s="2" t="s">
        <v>477</v>
      </c>
      <c r="C223" s="2" t="s">
        <v>435</v>
      </c>
      <c r="D223" s="2" t="s">
        <v>19</v>
      </c>
      <c r="E223" s="2">
        <v>1.318899</v>
      </c>
      <c r="F223" s="3">
        <v>4</v>
      </c>
      <c r="G223" s="3">
        <v>4.2</v>
      </c>
      <c r="H223" s="3">
        <v>0</v>
      </c>
      <c r="I223" s="3">
        <v>0</v>
      </c>
      <c r="J223" s="3">
        <v>0.1</v>
      </c>
      <c r="K223" s="3">
        <v>3.3</v>
      </c>
      <c r="L223" s="3" t="s">
        <v>30</v>
      </c>
      <c r="M223" s="3">
        <v>0.3</v>
      </c>
      <c r="N223" s="4">
        <v>86730</v>
      </c>
      <c r="O223" s="4" t="str" cm="1">
        <f t="array" ref="O223">_xlfn.IFS(N223&lt;45000,"Under 45K",N223&lt;75000,"45K - 75K",N223&lt;100000,"75K - 100K",N223&gt;=100000,"Over 100K")</f>
        <v>75K - 100K</v>
      </c>
      <c r="P223" s="2" t="s">
        <v>304</v>
      </c>
    </row>
    <row r="224" spans="1:16">
      <c r="A224" s="2" t="s">
        <v>478</v>
      </c>
      <c r="B224" s="2" t="s">
        <v>479</v>
      </c>
      <c r="C224" s="2" t="s">
        <v>435</v>
      </c>
      <c r="D224" s="2" t="s">
        <v>19</v>
      </c>
      <c r="E224" s="2">
        <v>1.3086990000000001</v>
      </c>
      <c r="F224" s="3">
        <v>14.5</v>
      </c>
      <c r="G224" s="3">
        <v>14.8</v>
      </c>
      <c r="H224" s="3">
        <v>0</v>
      </c>
      <c r="I224" s="3">
        <v>0</v>
      </c>
      <c r="J224" s="3">
        <v>0.3</v>
      </c>
      <c r="K224" s="3">
        <v>2.4</v>
      </c>
      <c r="L224" s="3" t="s">
        <v>30</v>
      </c>
      <c r="M224" s="3">
        <v>1.1000000000000001</v>
      </c>
      <c r="N224" s="4">
        <v>84290</v>
      </c>
      <c r="O224" s="4" t="str" cm="1">
        <f t="array" ref="O224">_xlfn.IFS(N224&lt;45000,"Under 45K",N224&lt;75000,"45K - 75K",N224&lt;100000,"75K - 100K",N224&gt;=100000,"Over 100K")</f>
        <v>75K - 100K</v>
      </c>
      <c r="P224" s="2" t="s">
        <v>304</v>
      </c>
    </row>
    <row r="225" spans="1:16">
      <c r="A225" s="2" t="s">
        <v>480</v>
      </c>
      <c r="B225" s="2" t="s">
        <v>481</v>
      </c>
      <c r="C225" s="2" t="s">
        <v>435</v>
      </c>
      <c r="D225" s="2" t="s">
        <v>19</v>
      </c>
      <c r="E225" s="2">
        <v>1.3061560000000001</v>
      </c>
      <c r="F225" s="3">
        <v>14</v>
      </c>
      <c r="G225" s="3">
        <v>14.4</v>
      </c>
      <c r="H225" s="3">
        <v>0</v>
      </c>
      <c r="I225" s="3">
        <v>0</v>
      </c>
      <c r="J225" s="3">
        <v>0.4</v>
      </c>
      <c r="K225" s="3">
        <v>2.6</v>
      </c>
      <c r="L225" s="3" t="s">
        <v>30</v>
      </c>
      <c r="M225" s="3">
        <v>1</v>
      </c>
      <c r="N225" s="4">
        <v>101390</v>
      </c>
      <c r="O225" s="4" t="str" cm="1">
        <f t="array" ref="O225">_xlfn.IFS(N225&lt;45000,"Under 45K",N225&lt;75000,"45K - 75K",N225&lt;100000,"75K - 100K",N225&gt;=100000,"Over 100K")</f>
        <v>Over 100K</v>
      </c>
      <c r="P225" s="2" t="s">
        <v>304</v>
      </c>
    </row>
    <row r="226" spans="1:16">
      <c r="A226" s="2" t="s">
        <v>482</v>
      </c>
      <c r="B226" s="2" t="s">
        <v>483</v>
      </c>
      <c r="C226" s="2" t="s">
        <v>435</v>
      </c>
      <c r="D226" s="2" t="s">
        <v>19</v>
      </c>
      <c r="E226" s="2">
        <v>1.301855</v>
      </c>
      <c r="F226" s="3">
        <v>232.6</v>
      </c>
      <c r="G226" s="3">
        <v>235.5</v>
      </c>
      <c r="H226" s="3">
        <v>0.1</v>
      </c>
      <c r="I226" s="3">
        <v>0.1</v>
      </c>
      <c r="J226" s="3">
        <v>2.9</v>
      </c>
      <c r="K226" s="3">
        <v>1.3</v>
      </c>
      <c r="L226" s="3">
        <v>3.3</v>
      </c>
      <c r="M226" s="3">
        <v>21.9</v>
      </c>
      <c r="N226" s="4">
        <v>74720</v>
      </c>
      <c r="O226" s="4" t="str" cm="1">
        <f t="array" ref="O226">_xlfn.IFS(N226&lt;45000,"Under 45K",N226&lt;75000,"45K - 75K",N226&lt;100000,"75K - 100K",N226&gt;=100000,"Over 100K")</f>
        <v>45K - 75K</v>
      </c>
      <c r="P226" s="2" t="s">
        <v>20</v>
      </c>
    </row>
    <row r="227" spans="1:16">
      <c r="A227" s="2" t="s">
        <v>484</v>
      </c>
      <c r="B227" s="2" t="s">
        <v>485</v>
      </c>
      <c r="C227" s="2" t="s">
        <v>435</v>
      </c>
      <c r="D227" s="2" t="s">
        <v>19</v>
      </c>
      <c r="E227" s="2">
        <v>1.2864450000000001</v>
      </c>
      <c r="F227" s="3">
        <v>633.70000000000005</v>
      </c>
      <c r="G227" s="3">
        <v>621.29999999999995</v>
      </c>
      <c r="H227" s="3">
        <v>0.4</v>
      </c>
      <c r="I227" s="3">
        <v>0.4</v>
      </c>
      <c r="J227" s="3">
        <v>-12.4</v>
      </c>
      <c r="K227" s="3">
        <v>-2</v>
      </c>
      <c r="L227" s="3">
        <v>0.6</v>
      </c>
      <c r="M227" s="3">
        <v>40.5</v>
      </c>
      <c r="N227" s="4">
        <v>62970</v>
      </c>
      <c r="O227" s="4" t="str" cm="1">
        <f t="array" ref="O227">_xlfn.IFS(N227&lt;45000,"Under 45K",N227&lt;75000,"45K - 75K",N227&lt;100000,"75K - 100K",N227&gt;=100000,"Over 100K")</f>
        <v>45K - 75K</v>
      </c>
      <c r="P227" s="2" t="s">
        <v>23</v>
      </c>
    </row>
    <row r="228" spans="1:16">
      <c r="A228" s="2" t="s">
        <v>486</v>
      </c>
      <c r="B228" s="2" t="s">
        <v>487</v>
      </c>
      <c r="C228" s="2" t="s">
        <v>435</v>
      </c>
      <c r="D228" s="2" t="s">
        <v>19</v>
      </c>
      <c r="E228" s="2">
        <v>1.2777780000000001</v>
      </c>
      <c r="F228" s="3">
        <v>44.8</v>
      </c>
      <c r="G228" s="3">
        <v>47.2</v>
      </c>
      <c r="H228" s="3">
        <v>0</v>
      </c>
      <c r="I228" s="3">
        <v>0</v>
      </c>
      <c r="J228" s="3">
        <v>2.4</v>
      </c>
      <c r="K228" s="3">
        <v>5.3</v>
      </c>
      <c r="L228" s="3">
        <v>0.2</v>
      </c>
      <c r="M228" s="3">
        <v>3.5</v>
      </c>
      <c r="N228" s="4">
        <v>96690</v>
      </c>
      <c r="O228" s="4" t="str" cm="1">
        <f t="array" ref="O228">_xlfn.IFS(N228&lt;45000,"Under 45K",N228&lt;75000,"45K - 75K",N228&lt;100000,"75K - 100K",N228&gt;=100000,"Over 100K")</f>
        <v>75K - 100K</v>
      </c>
      <c r="P228" s="2" t="s">
        <v>304</v>
      </c>
    </row>
    <row r="229" spans="1:16">
      <c r="A229" s="2" t="s">
        <v>488</v>
      </c>
      <c r="B229" s="2" t="s">
        <v>489</v>
      </c>
      <c r="C229" s="2" t="s">
        <v>435</v>
      </c>
      <c r="D229" s="2" t="s">
        <v>19</v>
      </c>
      <c r="E229" s="2">
        <v>1.260278</v>
      </c>
      <c r="F229" s="3">
        <v>1.6</v>
      </c>
      <c r="G229" s="3">
        <v>1.7</v>
      </c>
      <c r="H229" s="3">
        <v>0</v>
      </c>
      <c r="I229" s="3">
        <v>0</v>
      </c>
      <c r="J229" s="3">
        <v>0.1</v>
      </c>
      <c r="K229" s="3">
        <v>4</v>
      </c>
      <c r="L229" s="3" t="s">
        <v>30</v>
      </c>
      <c r="M229" s="3">
        <v>0.1</v>
      </c>
      <c r="N229" s="4">
        <v>100830</v>
      </c>
      <c r="O229" s="4" t="str" cm="1">
        <f t="array" ref="O229">_xlfn.IFS(N229&lt;45000,"Under 45K",N229&lt;75000,"45K - 75K",N229&lt;100000,"75K - 100K",N229&gt;=100000,"Over 100K")</f>
        <v>Over 100K</v>
      </c>
      <c r="P229" s="2" t="s">
        <v>304</v>
      </c>
    </row>
    <row r="230" spans="1:16">
      <c r="A230" s="2" t="s">
        <v>490</v>
      </c>
      <c r="B230" s="2" t="s">
        <v>491</v>
      </c>
      <c r="C230" s="2" t="s">
        <v>435</v>
      </c>
      <c r="D230" s="2" t="s">
        <v>19</v>
      </c>
      <c r="E230" s="2">
        <v>1.2276769999999999</v>
      </c>
      <c r="F230" s="3">
        <v>66</v>
      </c>
      <c r="G230" s="3">
        <v>70.8</v>
      </c>
      <c r="H230" s="3">
        <v>0</v>
      </c>
      <c r="I230" s="3">
        <v>0</v>
      </c>
      <c r="J230" s="3">
        <v>4.8</v>
      </c>
      <c r="K230" s="3">
        <v>7.3</v>
      </c>
      <c r="L230" s="3">
        <v>0.2</v>
      </c>
      <c r="M230" s="3">
        <v>5.4</v>
      </c>
      <c r="N230" s="4">
        <v>83460</v>
      </c>
      <c r="O230" s="4" t="str" cm="1">
        <f t="array" ref="O230">_xlfn.IFS(N230&lt;45000,"Under 45K",N230&lt;75000,"45K - 75K",N230&lt;100000,"75K - 100K",N230&gt;=100000,"Over 100K")</f>
        <v>75K - 100K</v>
      </c>
      <c r="P230" s="2" t="s">
        <v>304</v>
      </c>
    </row>
    <row r="231" spans="1:16">
      <c r="A231" s="2" t="s">
        <v>492</v>
      </c>
      <c r="B231" s="2" t="s">
        <v>493</v>
      </c>
      <c r="C231" s="2" t="s">
        <v>435</v>
      </c>
      <c r="D231" s="2" t="s">
        <v>19</v>
      </c>
      <c r="E231" s="2">
        <v>1.2220219999999999</v>
      </c>
      <c r="F231" s="3">
        <v>11.6</v>
      </c>
      <c r="G231" s="3">
        <v>11.9</v>
      </c>
      <c r="H231" s="3">
        <v>0</v>
      </c>
      <c r="I231" s="3">
        <v>0</v>
      </c>
      <c r="J231" s="3">
        <v>0.2</v>
      </c>
      <c r="K231" s="3">
        <v>2</v>
      </c>
      <c r="L231" s="3" t="s">
        <v>30</v>
      </c>
      <c r="M231" s="3">
        <v>0.9</v>
      </c>
      <c r="N231" s="4">
        <v>101480</v>
      </c>
      <c r="O231" s="4" t="str" cm="1">
        <f t="array" ref="O231">_xlfn.IFS(N231&lt;45000,"Under 45K",N231&lt;75000,"45K - 75K",N231&lt;100000,"75K - 100K",N231&gt;=100000,"Over 100K")</f>
        <v>Over 100K</v>
      </c>
      <c r="P231" s="2" t="s">
        <v>304</v>
      </c>
    </row>
    <row r="232" spans="1:16">
      <c r="A232" s="2" t="s">
        <v>494</v>
      </c>
      <c r="B232" s="2" t="s">
        <v>495</v>
      </c>
      <c r="C232" s="2" t="s">
        <v>435</v>
      </c>
      <c r="D232" s="2" t="s">
        <v>19</v>
      </c>
      <c r="E232" s="2">
        <v>1.211652</v>
      </c>
      <c r="F232" s="3">
        <v>3.2</v>
      </c>
      <c r="G232" s="3">
        <v>3.3</v>
      </c>
      <c r="H232" s="3">
        <v>0</v>
      </c>
      <c r="I232" s="3">
        <v>0</v>
      </c>
      <c r="J232" s="3">
        <v>0.1</v>
      </c>
      <c r="K232" s="3">
        <v>3.4</v>
      </c>
      <c r="L232" s="3" t="s">
        <v>30</v>
      </c>
      <c r="M232" s="3">
        <v>0.2</v>
      </c>
      <c r="N232" s="4">
        <v>77280</v>
      </c>
      <c r="O232" s="4" t="str" cm="1">
        <f t="array" ref="O232">_xlfn.IFS(N232&lt;45000,"Under 45K",N232&lt;75000,"45K - 75K",N232&lt;100000,"75K - 100K",N232&gt;=100000,"Over 100K")</f>
        <v>75K - 100K</v>
      </c>
      <c r="P232" s="2" t="s">
        <v>304</v>
      </c>
    </row>
    <row r="233" spans="1:16">
      <c r="A233" s="2" t="s">
        <v>496</v>
      </c>
      <c r="B233" s="2" t="s">
        <v>497</v>
      </c>
      <c r="C233" s="2" t="s">
        <v>435</v>
      </c>
      <c r="D233" s="2" t="s">
        <v>19</v>
      </c>
      <c r="E233" s="2">
        <v>1.1929879999999999</v>
      </c>
      <c r="F233" s="3">
        <v>74.900000000000006</v>
      </c>
      <c r="G233" s="3">
        <v>76.5</v>
      </c>
      <c r="H233" s="3">
        <v>0</v>
      </c>
      <c r="I233" s="3">
        <v>0</v>
      </c>
      <c r="J233" s="3">
        <v>1.6</v>
      </c>
      <c r="K233" s="3">
        <v>2.1</v>
      </c>
      <c r="L233" s="3">
        <v>0.3</v>
      </c>
      <c r="M233" s="3">
        <v>5.6</v>
      </c>
      <c r="N233" s="4">
        <v>72090</v>
      </c>
      <c r="O233" s="4" t="str" cm="1">
        <f t="array" ref="O233">_xlfn.IFS(N233&lt;45000,"Under 45K",N233&lt;75000,"45K - 75K",N233&lt;100000,"75K - 100K",N233&gt;=100000,"Over 100K")</f>
        <v>45K - 75K</v>
      </c>
      <c r="P233" s="2" t="s">
        <v>304</v>
      </c>
    </row>
    <row r="234" spans="1:16">
      <c r="A234" s="2" t="s">
        <v>498</v>
      </c>
      <c r="B234" s="2" t="s">
        <v>499</v>
      </c>
      <c r="C234" s="2" t="s">
        <v>435</v>
      </c>
      <c r="D234" s="2" t="s">
        <v>19</v>
      </c>
      <c r="E234" s="2">
        <v>1.191325</v>
      </c>
      <c r="F234" s="3">
        <v>1094.5</v>
      </c>
      <c r="G234" s="3">
        <v>1076.7</v>
      </c>
      <c r="H234" s="3">
        <v>0.6</v>
      </c>
      <c r="I234" s="3">
        <v>0.6</v>
      </c>
      <c r="J234" s="3">
        <v>-17.8</v>
      </c>
      <c r="K234" s="3">
        <v>-1.6</v>
      </c>
      <c r="L234" s="3">
        <v>0</v>
      </c>
      <c r="M234" s="3">
        <v>66.2</v>
      </c>
      <c r="N234" s="4">
        <v>64580</v>
      </c>
      <c r="O234" s="4" t="str" cm="1">
        <f t="array" ref="O234">_xlfn.IFS(N234&lt;45000,"Under 45K",N234&lt;75000,"45K - 75K",N234&lt;100000,"75K - 100K",N234&gt;=100000,"Over 100K")</f>
        <v>45K - 75K</v>
      </c>
      <c r="P234" s="2" t="s">
        <v>23</v>
      </c>
    </row>
    <row r="235" spans="1:16">
      <c r="A235" s="2" t="s">
        <v>500</v>
      </c>
      <c r="B235" s="2" t="s">
        <v>501</v>
      </c>
      <c r="C235" s="2" t="s">
        <v>435</v>
      </c>
      <c r="D235" s="2" t="s">
        <v>19</v>
      </c>
      <c r="E235" s="2">
        <v>1.16489</v>
      </c>
      <c r="F235" s="3">
        <v>15.4</v>
      </c>
      <c r="G235" s="3">
        <v>15.7</v>
      </c>
      <c r="H235" s="3">
        <v>0</v>
      </c>
      <c r="I235" s="3">
        <v>0</v>
      </c>
      <c r="J235" s="3">
        <v>0.4</v>
      </c>
      <c r="K235" s="3">
        <v>2.4</v>
      </c>
      <c r="L235" s="3" t="s">
        <v>30</v>
      </c>
      <c r="M235" s="3">
        <v>1.1000000000000001</v>
      </c>
      <c r="N235" s="4">
        <v>75890</v>
      </c>
      <c r="O235" s="4" t="str" cm="1">
        <f t="array" ref="O235">_xlfn.IFS(N235&lt;45000,"Under 45K",N235&lt;75000,"45K - 75K",N235&lt;100000,"75K - 100K",N235&gt;=100000,"Over 100K")</f>
        <v>75K - 100K</v>
      </c>
      <c r="P235" s="2" t="s">
        <v>304</v>
      </c>
    </row>
    <row r="236" spans="1:16">
      <c r="A236" s="2" t="s">
        <v>502</v>
      </c>
      <c r="B236" s="2" t="s">
        <v>503</v>
      </c>
      <c r="C236" s="2" t="s">
        <v>435</v>
      </c>
      <c r="D236" s="2" t="s">
        <v>19</v>
      </c>
      <c r="E236" s="2">
        <v>1.0441910000000001</v>
      </c>
      <c r="F236" s="3">
        <v>17.100000000000001</v>
      </c>
      <c r="G236" s="3">
        <v>17.5</v>
      </c>
      <c r="H236" s="3">
        <v>0</v>
      </c>
      <c r="I236" s="3">
        <v>0</v>
      </c>
      <c r="J236" s="3">
        <v>0.4</v>
      </c>
      <c r="K236" s="3">
        <v>2.5</v>
      </c>
      <c r="L236" s="3" t="s">
        <v>30</v>
      </c>
      <c r="M236" s="3">
        <v>1.3</v>
      </c>
      <c r="N236" s="4">
        <v>97360</v>
      </c>
      <c r="O236" s="4" t="str" cm="1">
        <f t="array" ref="O236">_xlfn.IFS(N236&lt;45000,"Under 45K",N236&lt;75000,"45K - 75K",N236&lt;100000,"75K - 100K",N236&gt;=100000,"Over 100K")</f>
        <v>75K - 100K</v>
      </c>
      <c r="P236" s="2" t="s">
        <v>304</v>
      </c>
    </row>
    <row r="237" spans="1:16">
      <c r="A237" s="2" t="s">
        <v>504</v>
      </c>
      <c r="B237" s="2" t="s">
        <v>505</v>
      </c>
      <c r="C237" s="2" t="s">
        <v>435</v>
      </c>
      <c r="D237" s="2" t="s">
        <v>19</v>
      </c>
      <c r="E237" s="2">
        <v>0.92475399999999996</v>
      </c>
      <c r="F237" s="3">
        <v>289.60000000000002</v>
      </c>
      <c r="G237" s="3">
        <v>339.7</v>
      </c>
      <c r="H237" s="3">
        <v>0.2</v>
      </c>
      <c r="I237" s="3">
        <v>0.2</v>
      </c>
      <c r="J237" s="3">
        <v>50.1</v>
      </c>
      <c r="K237" s="3">
        <v>17.3</v>
      </c>
      <c r="L237" s="3">
        <v>0.3</v>
      </c>
      <c r="M237" s="3">
        <v>27.4</v>
      </c>
      <c r="N237" s="4">
        <v>105620</v>
      </c>
      <c r="O237" s="4" t="str" cm="1">
        <f t="array" ref="O237">_xlfn.IFS(N237&lt;45000,"Under 45K",N237&lt;75000,"45K - 75K",N237&lt;100000,"75K - 100K",N237&gt;=100000,"Over 100K")</f>
        <v>Over 100K</v>
      </c>
      <c r="P237" s="2" t="s">
        <v>304</v>
      </c>
    </row>
    <row r="238" spans="1:16">
      <c r="A238" s="2" t="s">
        <v>506</v>
      </c>
      <c r="B238" s="2" t="s">
        <v>507</v>
      </c>
      <c r="C238" s="2" t="s">
        <v>435</v>
      </c>
      <c r="D238" s="2" t="s">
        <v>19</v>
      </c>
      <c r="E238" s="2">
        <v>0.88694910000000005</v>
      </c>
      <c r="F238" s="3">
        <v>1422.7</v>
      </c>
      <c r="G238" s="3">
        <v>1394.8</v>
      </c>
      <c r="H238" s="3">
        <v>0.8</v>
      </c>
      <c r="I238" s="3">
        <v>0.8</v>
      </c>
      <c r="J238" s="3">
        <v>-27.9</v>
      </c>
      <c r="K238" s="3">
        <v>-2</v>
      </c>
      <c r="L238" s="3">
        <v>0.6</v>
      </c>
      <c r="M238" s="3">
        <v>91</v>
      </c>
      <c r="N238" s="4">
        <v>62340</v>
      </c>
      <c r="O238" s="4" t="str" cm="1">
        <f t="array" ref="O238">_xlfn.IFS(N238&lt;45000,"Under 45K",N238&lt;75000,"45K - 75K",N238&lt;100000,"75K - 100K",N238&gt;=100000,"Over 100K")</f>
        <v>45K - 75K</v>
      </c>
      <c r="P238" s="2" t="s">
        <v>23</v>
      </c>
    </row>
    <row r="239" spans="1:16">
      <c r="A239" s="2" t="s">
        <v>508</v>
      </c>
      <c r="B239" s="2" t="s">
        <v>509</v>
      </c>
      <c r="C239" s="2" t="s">
        <v>435</v>
      </c>
      <c r="D239" s="2" t="s">
        <v>19</v>
      </c>
      <c r="E239" s="2">
        <v>0.86040309999999998</v>
      </c>
      <c r="F239" s="3">
        <v>12.4</v>
      </c>
      <c r="G239" s="3">
        <v>12.1</v>
      </c>
      <c r="H239" s="3">
        <v>0</v>
      </c>
      <c r="I239" s="3">
        <v>0</v>
      </c>
      <c r="J239" s="3">
        <v>-0.3</v>
      </c>
      <c r="K239" s="3">
        <v>-2.5</v>
      </c>
      <c r="L239" s="3">
        <v>0.7</v>
      </c>
      <c r="M239" s="3">
        <v>1.1000000000000001</v>
      </c>
      <c r="N239" s="4">
        <v>58120</v>
      </c>
      <c r="O239" s="4" t="str" cm="1">
        <f t="array" ref="O239">_xlfn.IFS(N239&lt;45000,"Under 45K",N239&lt;75000,"45K - 75K",N239&lt;100000,"75K - 100K",N239&gt;=100000,"Over 100K")</f>
        <v>45K - 75K</v>
      </c>
      <c r="P239" s="2" t="s">
        <v>20</v>
      </c>
    </row>
    <row r="240" spans="1:16">
      <c r="A240" s="2" t="s">
        <v>510</v>
      </c>
      <c r="B240" s="2" t="s">
        <v>511</v>
      </c>
      <c r="C240" s="2" t="s">
        <v>435</v>
      </c>
      <c r="D240" s="2" t="s">
        <v>19</v>
      </c>
      <c r="E240" s="2">
        <v>0.75827690000000003</v>
      </c>
      <c r="F240" s="3">
        <v>122.8</v>
      </c>
      <c r="G240" s="3">
        <v>124.8</v>
      </c>
      <c r="H240" s="3">
        <v>0.1</v>
      </c>
      <c r="I240" s="3">
        <v>0.1</v>
      </c>
      <c r="J240" s="3">
        <v>2.1</v>
      </c>
      <c r="K240" s="3">
        <v>1.7</v>
      </c>
      <c r="L240" s="3">
        <v>0.4</v>
      </c>
      <c r="M240" s="3">
        <v>9</v>
      </c>
      <c r="N240" s="4">
        <v>80190</v>
      </c>
      <c r="O240" s="4" t="str" cm="1">
        <f t="array" ref="O240">_xlfn.IFS(N240&lt;45000,"Under 45K",N240&lt;75000,"45K - 75K",N240&lt;100000,"75K - 100K",N240&gt;=100000,"Over 100K")</f>
        <v>75K - 100K</v>
      </c>
      <c r="P240" s="2" t="s">
        <v>20</v>
      </c>
    </row>
    <row r="241" spans="1:16">
      <c r="A241" s="2" t="s">
        <v>512</v>
      </c>
      <c r="B241" s="2" t="s">
        <v>513</v>
      </c>
      <c r="C241" s="2" t="s">
        <v>435</v>
      </c>
      <c r="D241" s="2" t="s">
        <v>19</v>
      </c>
      <c r="E241" s="2">
        <v>0.75466849999999996</v>
      </c>
      <c r="F241" s="3">
        <v>10.7</v>
      </c>
      <c r="G241" s="3">
        <v>11.2</v>
      </c>
      <c r="H241" s="3">
        <v>0</v>
      </c>
      <c r="I241" s="3">
        <v>0</v>
      </c>
      <c r="J241" s="3">
        <v>0.4</v>
      </c>
      <c r="K241" s="3">
        <v>4.0999999999999996</v>
      </c>
      <c r="L241" s="3" t="s">
        <v>30</v>
      </c>
      <c r="M241" s="3">
        <v>0.8</v>
      </c>
      <c r="N241" s="4">
        <v>86350</v>
      </c>
      <c r="O241" s="4" t="str" cm="1">
        <f t="array" ref="O241">_xlfn.IFS(N241&lt;45000,"Under 45K",N241&lt;75000,"45K - 75K",N241&lt;100000,"75K - 100K",N241&gt;=100000,"Over 100K")</f>
        <v>75K - 100K</v>
      </c>
      <c r="P241" s="2" t="s">
        <v>304</v>
      </c>
    </row>
    <row r="242" spans="1:16">
      <c r="A242" s="2" t="s">
        <v>514</v>
      </c>
      <c r="B242" s="2" t="s">
        <v>515</v>
      </c>
      <c r="C242" s="2" t="s">
        <v>435</v>
      </c>
      <c r="D242" s="2" t="s">
        <v>19</v>
      </c>
      <c r="E242" s="2">
        <v>0.73666580000000004</v>
      </c>
      <c r="F242" s="3">
        <v>15.1</v>
      </c>
      <c r="G242" s="3">
        <v>16.2</v>
      </c>
      <c r="H242" s="3">
        <v>0</v>
      </c>
      <c r="I242" s="3">
        <v>0</v>
      </c>
      <c r="J242" s="3">
        <v>1.1000000000000001</v>
      </c>
      <c r="K242" s="3">
        <v>7</v>
      </c>
      <c r="L242" s="3">
        <v>13.1</v>
      </c>
      <c r="M242" s="3">
        <v>1.8</v>
      </c>
      <c r="N242" s="4">
        <v>61770</v>
      </c>
      <c r="O242" s="4" t="str" cm="1">
        <f t="array" ref="O242">_xlfn.IFS(N242&lt;45000,"Under 45K",N242&lt;75000,"45K - 75K",N242&lt;100000,"75K - 100K",N242&gt;=100000,"Over 100K")</f>
        <v>45K - 75K</v>
      </c>
      <c r="P242" s="2" t="s">
        <v>20</v>
      </c>
    </row>
    <row r="243" spans="1:16">
      <c r="A243" s="2" t="s">
        <v>516</v>
      </c>
      <c r="B243" s="2" t="s">
        <v>517</v>
      </c>
      <c r="C243" s="2" t="s">
        <v>435</v>
      </c>
      <c r="D243" s="2" t="s">
        <v>19</v>
      </c>
      <c r="E243" s="2">
        <v>0.73574859999999997</v>
      </c>
      <c r="F243" s="3">
        <v>230.2</v>
      </c>
      <c r="G243" s="3">
        <v>226.1</v>
      </c>
      <c r="H243" s="3">
        <v>0.1</v>
      </c>
      <c r="I243" s="3">
        <v>0.1</v>
      </c>
      <c r="J243" s="3">
        <v>-4.0999999999999996</v>
      </c>
      <c r="K243" s="3">
        <v>-1.8</v>
      </c>
      <c r="L243" s="3">
        <v>0.3</v>
      </c>
      <c r="M243" s="3">
        <v>15.4</v>
      </c>
      <c r="N243" s="4">
        <v>63000</v>
      </c>
      <c r="O243" s="4" t="str" cm="1">
        <f t="array" ref="O243">_xlfn.IFS(N243&lt;45000,"Under 45K",N243&lt;75000,"45K - 75K",N243&lt;100000,"75K - 100K",N243&gt;=100000,"Over 100K")</f>
        <v>45K - 75K</v>
      </c>
      <c r="P243" s="2" t="s">
        <v>23</v>
      </c>
    </row>
    <row r="244" spans="1:16">
      <c r="A244" s="2" t="s">
        <v>518</v>
      </c>
      <c r="B244" s="2" t="s">
        <v>519</v>
      </c>
      <c r="C244" s="2" t="s">
        <v>435</v>
      </c>
      <c r="D244" s="2" t="s">
        <v>19</v>
      </c>
      <c r="E244" s="2">
        <v>0.67656019999999994</v>
      </c>
      <c r="F244" s="3">
        <v>9.3000000000000007</v>
      </c>
      <c r="G244" s="3">
        <v>9.6999999999999993</v>
      </c>
      <c r="H244" s="3">
        <v>0</v>
      </c>
      <c r="I244" s="3">
        <v>0</v>
      </c>
      <c r="J244" s="3">
        <v>0.4</v>
      </c>
      <c r="K244" s="3">
        <v>3.8</v>
      </c>
      <c r="L244" s="3">
        <v>10.4</v>
      </c>
      <c r="M244" s="3">
        <v>1.1000000000000001</v>
      </c>
      <c r="N244" s="4">
        <v>61570</v>
      </c>
      <c r="O244" s="4" t="str" cm="1">
        <f t="array" ref="O244">_xlfn.IFS(N244&lt;45000,"Under 45K",N244&lt;75000,"45K - 75K",N244&lt;100000,"75K - 100K",N244&gt;=100000,"Over 100K")</f>
        <v>45K - 75K</v>
      </c>
      <c r="P244" s="2" t="s">
        <v>20</v>
      </c>
    </row>
    <row r="245" spans="1:16">
      <c r="A245" s="2" t="s">
        <v>520</v>
      </c>
      <c r="B245" s="2" t="s">
        <v>521</v>
      </c>
      <c r="C245" s="2" t="s">
        <v>435</v>
      </c>
      <c r="D245" s="2" t="s">
        <v>19</v>
      </c>
      <c r="E245" s="2">
        <v>0.52635200000000004</v>
      </c>
      <c r="F245" s="3">
        <v>417.5</v>
      </c>
      <c r="G245" s="3">
        <v>433</v>
      </c>
      <c r="H245" s="3">
        <v>0.2</v>
      </c>
      <c r="I245" s="3">
        <v>0.2</v>
      </c>
      <c r="J245" s="3">
        <v>15.5</v>
      </c>
      <c r="K245" s="3">
        <v>3.7</v>
      </c>
      <c r="L245" s="3">
        <v>16.8</v>
      </c>
      <c r="M245" s="3">
        <v>51.4</v>
      </c>
      <c r="N245" s="4">
        <v>45590</v>
      </c>
      <c r="O245" s="4" t="str" cm="1">
        <f t="array" ref="O245">_xlfn.IFS(N245&lt;45000,"Under 45K",N245&lt;75000,"45K - 75K",N245&lt;100000,"75K - 100K",N245&gt;=100000,"Over 100K")</f>
        <v>45K - 75K</v>
      </c>
      <c r="P245" s="2" t="s">
        <v>47</v>
      </c>
    </row>
    <row r="246" spans="1:16">
      <c r="A246" s="2" t="s">
        <v>522</v>
      </c>
      <c r="B246" s="2" t="s">
        <v>523</v>
      </c>
      <c r="C246" s="2" t="s">
        <v>435</v>
      </c>
      <c r="D246" s="2" t="s">
        <v>19</v>
      </c>
      <c r="E246" s="2">
        <v>0.51991909999999997</v>
      </c>
      <c r="F246" s="3">
        <v>14</v>
      </c>
      <c r="G246" s="3">
        <v>13.8</v>
      </c>
      <c r="H246" s="3">
        <v>0</v>
      </c>
      <c r="I246" s="3">
        <v>0</v>
      </c>
      <c r="J246" s="3">
        <v>-0.3</v>
      </c>
      <c r="K246" s="3">
        <v>-2</v>
      </c>
      <c r="L246" s="3" t="s">
        <v>30</v>
      </c>
      <c r="M246" s="3">
        <v>0.9</v>
      </c>
      <c r="N246" s="4">
        <v>63620</v>
      </c>
      <c r="O246" s="4" t="str" cm="1">
        <f t="array" ref="O246">_xlfn.IFS(N246&lt;45000,"Under 45K",N246&lt;75000,"45K - 75K",N246&lt;100000,"75K - 100K",N246&gt;=100000,"Over 100K")</f>
        <v>45K - 75K</v>
      </c>
      <c r="P246" s="2" t="s">
        <v>23</v>
      </c>
    </row>
    <row r="247" spans="1:16">
      <c r="A247" s="2" t="s">
        <v>524</v>
      </c>
      <c r="B247" s="2" t="s">
        <v>525</v>
      </c>
      <c r="C247" s="2" t="s">
        <v>435</v>
      </c>
      <c r="D247" s="2" t="s">
        <v>19</v>
      </c>
      <c r="E247" s="2">
        <v>0.51706819999999998</v>
      </c>
      <c r="F247" s="3">
        <v>91.6</v>
      </c>
      <c r="G247" s="3">
        <v>106.9</v>
      </c>
      <c r="H247" s="3">
        <v>0.1</v>
      </c>
      <c r="I247" s="3">
        <v>0.1</v>
      </c>
      <c r="J247" s="3">
        <v>15.3</v>
      </c>
      <c r="K247" s="3">
        <v>16.8</v>
      </c>
      <c r="L247" s="3">
        <v>0.4</v>
      </c>
      <c r="M247" s="3">
        <v>8.6</v>
      </c>
      <c r="N247" s="4">
        <v>79940</v>
      </c>
      <c r="O247" s="4" t="str" cm="1">
        <f t="array" ref="O247">_xlfn.IFS(N247&lt;45000,"Under 45K",N247&lt;75000,"45K - 75K",N247&lt;100000,"75K - 100K",N247&gt;=100000,"Over 100K")</f>
        <v>75K - 100K</v>
      </c>
      <c r="P247" s="2" t="s">
        <v>304</v>
      </c>
    </row>
    <row r="248" spans="1:16">
      <c r="A248" s="2" t="s">
        <v>526</v>
      </c>
      <c r="B248" s="2" t="s">
        <v>527</v>
      </c>
      <c r="C248" s="2" t="s">
        <v>435</v>
      </c>
      <c r="D248" s="2" t="s">
        <v>19</v>
      </c>
      <c r="E248" s="2">
        <v>0.37505640000000001</v>
      </c>
      <c r="F248" s="3">
        <v>29.3</v>
      </c>
      <c r="G248" s="3">
        <v>29.7</v>
      </c>
      <c r="H248" s="3">
        <v>0</v>
      </c>
      <c r="I248" s="3">
        <v>0</v>
      </c>
      <c r="J248" s="3">
        <v>0.4</v>
      </c>
      <c r="K248" s="3">
        <v>1.4</v>
      </c>
      <c r="L248" s="3">
        <v>1.8</v>
      </c>
      <c r="M248" s="3">
        <v>2.1</v>
      </c>
      <c r="N248" s="4">
        <v>62190</v>
      </c>
      <c r="O248" s="4" t="str" cm="1">
        <f t="array" ref="O248">_xlfn.IFS(N248&lt;45000,"Under 45K",N248&lt;75000,"45K - 75K",N248&lt;100000,"75K - 100K",N248&gt;=100000,"Over 100K")</f>
        <v>45K - 75K</v>
      </c>
      <c r="P248" s="2" t="s">
        <v>23</v>
      </c>
    </row>
    <row r="249" spans="1:16">
      <c r="A249" s="2" t="s">
        <v>528</v>
      </c>
      <c r="B249" s="2" t="s">
        <v>529</v>
      </c>
      <c r="C249" s="2" t="s">
        <v>435</v>
      </c>
      <c r="D249" s="2" t="s">
        <v>19</v>
      </c>
      <c r="E249" s="2">
        <v>0.37345050000000002</v>
      </c>
      <c r="F249" s="3">
        <v>103.4</v>
      </c>
      <c r="G249" s="3">
        <v>101.5</v>
      </c>
      <c r="H249" s="3">
        <v>0.1</v>
      </c>
      <c r="I249" s="3">
        <v>0.1</v>
      </c>
      <c r="J249" s="3">
        <v>-1.9</v>
      </c>
      <c r="K249" s="3">
        <v>-1.8</v>
      </c>
      <c r="L249" s="3" t="s">
        <v>30</v>
      </c>
      <c r="M249" s="3">
        <v>6.2</v>
      </c>
      <c r="N249" s="4">
        <v>63910</v>
      </c>
      <c r="O249" s="4" t="str" cm="1">
        <f t="array" ref="O249">_xlfn.IFS(N249&lt;45000,"Under 45K",N249&lt;75000,"45K - 75K",N249&lt;100000,"75K - 100K",N249&gt;=100000,"Over 100K")</f>
        <v>45K - 75K</v>
      </c>
      <c r="P249" s="2" t="s">
        <v>23</v>
      </c>
    </row>
    <row r="250" spans="1:16">
      <c r="A250" s="2" t="s">
        <v>530</v>
      </c>
      <c r="B250" s="2" t="s">
        <v>531</v>
      </c>
      <c r="C250" s="2" t="s">
        <v>435</v>
      </c>
      <c r="D250" s="2" t="s">
        <v>19</v>
      </c>
      <c r="E250" s="2">
        <v>0.36440470000000003</v>
      </c>
      <c r="F250" s="3">
        <v>117.2</v>
      </c>
      <c r="G250" s="3">
        <v>115.2</v>
      </c>
      <c r="H250" s="3">
        <v>0.1</v>
      </c>
      <c r="I250" s="3">
        <v>0.1</v>
      </c>
      <c r="J250" s="3">
        <v>-1.9</v>
      </c>
      <c r="K250" s="3">
        <v>-1.6</v>
      </c>
      <c r="L250" s="3">
        <v>0.1</v>
      </c>
      <c r="M250" s="3">
        <v>12.8</v>
      </c>
      <c r="N250" s="4">
        <v>61430</v>
      </c>
      <c r="O250" s="4" t="str" cm="1">
        <f t="array" ref="O250">_xlfn.IFS(N250&lt;45000,"Under 45K",N250&lt;75000,"45K - 75K",N250&lt;100000,"75K - 100K",N250&gt;=100000,"Over 100K")</f>
        <v>45K - 75K</v>
      </c>
      <c r="P250" s="2" t="s">
        <v>23</v>
      </c>
    </row>
    <row r="251" spans="1:16">
      <c r="A251" s="2" t="s">
        <v>532</v>
      </c>
      <c r="B251" s="2" t="s">
        <v>533</v>
      </c>
      <c r="C251" s="2" t="s">
        <v>435</v>
      </c>
      <c r="D251" s="2" t="s">
        <v>19</v>
      </c>
      <c r="E251" s="2">
        <v>0.16221849999999999</v>
      </c>
      <c r="F251" s="3">
        <v>122.2</v>
      </c>
      <c r="G251" s="3">
        <v>123</v>
      </c>
      <c r="H251" s="3">
        <v>0.1</v>
      </c>
      <c r="I251" s="3">
        <v>0.1</v>
      </c>
      <c r="J251" s="3">
        <v>0.8</v>
      </c>
      <c r="K251" s="3">
        <v>0.7</v>
      </c>
      <c r="L251" s="3">
        <v>0.4</v>
      </c>
      <c r="M251" s="3">
        <v>8.8000000000000007</v>
      </c>
      <c r="N251" s="4">
        <v>61490</v>
      </c>
      <c r="O251" s="4" t="str" cm="1">
        <f t="array" ref="O251">_xlfn.IFS(N251&lt;45000,"Under 45K",N251&lt;75000,"45K - 75K",N251&lt;100000,"75K - 100K",N251&gt;=100000,"Over 100K")</f>
        <v>45K - 75K</v>
      </c>
      <c r="P251" s="2" t="s">
        <v>23</v>
      </c>
    </row>
    <row r="252" spans="1:16">
      <c r="A252" s="2" t="s">
        <v>534</v>
      </c>
      <c r="B252" s="2" t="s">
        <v>535</v>
      </c>
      <c r="C252" s="2" t="s">
        <v>435</v>
      </c>
      <c r="D252" s="2" t="s">
        <v>19</v>
      </c>
      <c r="E252" s="2">
        <v>3.7964999999999999E-2</v>
      </c>
      <c r="F252" s="3">
        <v>78.599999999999994</v>
      </c>
      <c r="G252" s="3">
        <v>73.2</v>
      </c>
      <c r="H252" s="3">
        <v>0</v>
      </c>
      <c r="I252" s="3">
        <v>0</v>
      </c>
      <c r="J252" s="3">
        <v>-5.4</v>
      </c>
      <c r="K252" s="3">
        <v>-6.8</v>
      </c>
      <c r="L252" s="3" t="s">
        <v>30</v>
      </c>
      <c r="M252" s="3">
        <v>13</v>
      </c>
      <c r="N252" s="4">
        <v>39970</v>
      </c>
      <c r="O252" s="4" t="str" cm="1">
        <f t="array" ref="O252">_xlfn.IFS(N252&lt;45000,"Under 45K",N252&lt;75000,"45K - 75K",N252&lt;100000,"75K - 100K",N252&gt;=100000,"Over 100K")</f>
        <v>Under 45K</v>
      </c>
      <c r="P252" s="2" t="s">
        <v>152</v>
      </c>
    </row>
    <row r="253" spans="1:16">
      <c r="A253" s="2" t="s">
        <v>536</v>
      </c>
      <c r="B253" s="2" t="s">
        <v>537</v>
      </c>
      <c r="C253" s="2" t="s">
        <v>435</v>
      </c>
      <c r="D253" s="2" t="s">
        <v>19</v>
      </c>
      <c r="E253" s="2">
        <v>3.06372E-2</v>
      </c>
      <c r="F253" s="3">
        <v>555.1</v>
      </c>
      <c r="G253" s="3">
        <v>578.1</v>
      </c>
      <c r="H253" s="3">
        <v>0.3</v>
      </c>
      <c r="I253" s="3">
        <v>0.3</v>
      </c>
      <c r="J253" s="3">
        <v>22.9</v>
      </c>
      <c r="K253" s="3">
        <v>4.0999999999999996</v>
      </c>
      <c r="L253" s="3">
        <v>0.6</v>
      </c>
      <c r="M253" s="3">
        <v>65.5</v>
      </c>
      <c r="N253" s="4">
        <v>37120</v>
      </c>
      <c r="O253" s="4" t="str" cm="1">
        <f t="array" ref="O253">_xlfn.IFS(N253&lt;45000,"Under 45K",N253&lt;75000,"45K - 75K",N253&lt;100000,"75K - 100K",N253&gt;=100000,"Over 100K")</f>
        <v>Under 45K</v>
      </c>
      <c r="P253" s="2" t="s">
        <v>92</v>
      </c>
    </row>
    <row r="254" spans="1:16">
      <c r="A254" s="2" t="s">
        <v>538</v>
      </c>
      <c r="B254" s="2" t="s">
        <v>539</v>
      </c>
      <c r="C254" s="2" t="s">
        <v>435</v>
      </c>
      <c r="D254" s="2" t="s">
        <v>19</v>
      </c>
      <c r="E254" s="15">
        <v>0</v>
      </c>
      <c r="F254" s="3">
        <v>20.7</v>
      </c>
      <c r="G254" s="3">
        <v>21.1</v>
      </c>
      <c r="H254" s="3">
        <v>0</v>
      </c>
      <c r="I254" s="3">
        <v>0</v>
      </c>
      <c r="J254" s="3">
        <v>0.4</v>
      </c>
      <c r="K254" s="3">
        <v>1.7</v>
      </c>
      <c r="L254" s="3" t="s">
        <v>30</v>
      </c>
      <c r="M254" s="3">
        <v>1.5</v>
      </c>
      <c r="N254" s="4">
        <v>75040</v>
      </c>
      <c r="O254" s="4" t="str" cm="1">
        <f t="array" ref="O254">_xlfn.IFS(N254&lt;45000,"Under 45K",N254&lt;75000,"45K - 75K",N254&lt;100000,"75K - 100K",N254&gt;=100000,"Over 100K")</f>
        <v>75K - 100K</v>
      </c>
      <c r="P254" s="2" t="s">
        <v>304</v>
      </c>
    </row>
    <row r="255" spans="1:16">
      <c r="A255" s="2" t="s">
        <v>540</v>
      </c>
      <c r="B255" s="2" t="s">
        <v>541</v>
      </c>
      <c r="C255" s="2" t="s">
        <v>435</v>
      </c>
      <c r="D255" s="2" t="s">
        <v>19</v>
      </c>
      <c r="E255" s="15">
        <v>0</v>
      </c>
      <c r="F255" s="3">
        <v>183.4</v>
      </c>
      <c r="G255" s="3">
        <v>186.8</v>
      </c>
      <c r="H255" s="3">
        <v>0.1</v>
      </c>
      <c r="I255" s="3">
        <v>0.1</v>
      </c>
      <c r="J255" s="3">
        <v>3.4</v>
      </c>
      <c r="K255" s="3">
        <v>1.8</v>
      </c>
      <c r="L255" s="3">
        <v>0.3</v>
      </c>
      <c r="M255" s="3">
        <v>13.5</v>
      </c>
      <c r="N255" s="4">
        <v>78490</v>
      </c>
      <c r="O255" s="4" t="str" cm="1">
        <f t="array" ref="O255">_xlfn.IFS(N255&lt;45000,"Under 45K",N255&lt;75000,"45K - 75K",N255&lt;100000,"75K - 100K",N255&gt;=100000,"Over 100K")</f>
        <v>75K - 100K</v>
      </c>
      <c r="P255" s="2" t="s">
        <v>304</v>
      </c>
    </row>
    <row r="256" spans="1:16">
      <c r="A256" s="2" t="s">
        <v>542</v>
      </c>
      <c r="B256" s="2" t="s">
        <v>543</v>
      </c>
      <c r="C256" s="2" t="s">
        <v>435</v>
      </c>
      <c r="D256" s="2" t="s">
        <v>19</v>
      </c>
      <c r="E256" s="15">
        <v>0</v>
      </c>
      <c r="F256" s="3">
        <v>94.8</v>
      </c>
      <c r="G256" s="3">
        <v>93</v>
      </c>
      <c r="H256" s="3">
        <v>0.1</v>
      </c>
      <c r="I256" s="3">
        <v>0.1</v>
      </c>
      <c r="J256" s="3">
        <v>-1.8</v>
      </c>
      <c r="K256" s="3">
        <v>-1.9</v>
      </c>
      <c r="L256" s="3">
        <v>0.3</v>
      </c>
      <c r="M256" s="3">
        <v>6.3</v>
      </c>
      <c r="N256" s="4">
        <v>64880</v>
      </c>
      <c r="O256" s="4" t="str" cm="1">
        <f t="array" ref="O256">_xlfn.IFS(N256&lt;45000,"Under 45K",N256&lt;75000,"45K - 75K",N256&lt;100000,"75K - 100K",N256&gt;=100000,"Over 100K")</f>
        <v>45K - 75K</v>
      </c>
      <c r="P256" s="2" t="s">
        <v>23</v>
      </c>
    </row>
    <row r="257" spans="1:16">
      <c r="A257" s="2" t="s">
        <v>544</v>
      </c>
      <c r="B257" s="2" t="s">
        <v>545</v>
      </c>
      <c r="C257" s="2" t="s">
        <v>435</v>
      </c>
      <c r="D257" s="2" t="s">
        <v>19</v>
      </c>
      <c r="E257" s="15">
        <v>0</v>
      </c>
      <c r="F257" s="3">
        <v>164.2</v>
      </c>
      <c r="G257" s="3">
        <v>161.5</v>
      </c>
      <c r="H257" s="3">
        <v>0.1</v>
      </c>
      <c r="I257" s="3">
        <v>0.1</v>
      </c>
      <c r="J257" s="3">
        <v>-2.6</v>
      </c>
      <c r="K257" s="3">
        <v>-1.6</v>
      </c>
      <c r="L257" s="3">
        <v>0.5</v>
      </c>
      <c r="M257" s="3">
        <v>11.1</v>
      </c>
      <c r="N257" s="4">
        <v>69590</v>
      </c>
      <c r="O257" s="4" t="str" cm="1">
        <f t="array" ref="O257">_xlfn.IFS(N257&lt;45000,"Under 45K",N257&lt;75000,"45K - 75K",N257&lt;100000,"75K - 100K",N257&gt;=100000,"Over 100K")</f>
        <v>45K - 75K</v>
      </c>
      <c r="P257" s="2" t="s">
        <v>23</v>
      </c>
    </row>
    <row r="258" spans="1:16">
      <c r="A258" s="2" t="s">
        <v>546</v>
      </c>
      <c r="B258" s="2" t="s">
        <v>547</v>
      </c>
      <c r="C258" s="2" t="s">
        <v>435</v>
      </c>
      <c r="D258" s="2" t="s">
        <v>19</v>
      </c>
      <c r="E258" s="15">
        <v>0</v>
      </c>
      <c r="F258" s="3">
        <v>510.1</v>
      </c>
      <c r="G258" s="3">
        <v>518.5</v>
      </c>
      <c r="H258" s="3">
        <v>0.3</v>
      </c>
      <c r="I258" s="3">
        <v>0.3</v>
      </c>
      <c r="J258" s="3">
        <v>8.4</v>
      </c>
      <c r="K258" s="3">
        <v>1.6</v>
      </c>
      <c r="L258" s="3">
        <v>5</v>
      </c>
      <c r="M258" s="3">
        <v>61.1</v>
      </c>
      <c r="N258" s="4">
        <v>38470</v>
      </c>
      <c r="O258" s="4" t="str" cm="1">
        <f t="array" ref="O258">_xlfn.IFS(N258&lt;45000,"Under 45K",N258&lt;75000,"45K - 75K",N258&lt;100000,"75K - 100K",N258&gt;=100000,"Over 100K")</f>
        <v>Under 45K</v>
      </c>
      <c r="P258" s="2" t="s">
        <v>23</v>
      </c>
    </row>
    <row r="259" spans="1:16">
      <c r="A259" s="2" t="s">
        <v>548</v>
      </c>
      <c r="B259" s="2" t="s">
        <v>549</v>
      </c>
      <c r="C259" s="2" t="s">
        <v>435</v>
      </c>
      <c r="D259" s="2" t="s">
        <v>19</v>
      </c>
      <c r="E259" s="15">
        <v>0</v>
      </c>
      <c r="F259" s="3">
        <v>215.5</v>
      </c>
      <c r="G259" s="3">
        <v>216.8</v>
      </c>
      <c r="H259" s="3">
        <v>0.1</v>
      </c>
      <c r="I259" s="3">
        <v>0.1</v>
      </c>
      <c r="J259" s="3">
        <v>1.3</v>
      </c>
      <c r="K259" s="3">
        <v>0.6</v>
      </c>
      <c r="L259" s="3">
        <v>13.7</v>
      </c>
      <c r="M259" s="3">
        <v>37.1</v>
      </c>
      <c r="N259" s="4">
        <v>40090</v>
      </c>
      <c r="O259" s="4" t="str" cm="1">
        <f t="array" ref="O259">_xlfn.IFS(N259&lt;45000,"Under 45K",N259&lt;75000,"45K - 75K",N259&lt;100000,"75K - 100K",N259&gt;=100000,"Over 100K")</f>
        <v>Under 45K</v>
      </c>
      <c r="P259" s="2" t="s">
        <v>185</v>
      </c>
    </row>
    <row r="260" spans="1:16">
      <c r="A260" s="2" t="s">
        <v>550</v>
      </c>
      <c r="B260" s="2" t="s">
        <v>551</v>
      </c>
      <c r="C260" s="2" t="s">
        <v>435</v>
      </c>
      <c r="D260" s="2" t="s">
        <v>19</v>
      </c>
      <c r="E260" s="15">
        <v>0</v>
      </c>
      <c r="F260" s="3">
        <v>142.1</v>
      </c>
      <c r="G260" s="3">
        <v>144.5</v>
      </c>
      <c r="H260" s="3">
        <v>0.1</v>
      </c>
      <c r="I260" s="3">
        <v>0.1</v>
      </c>
      <c r="J260" s="3">
        <v>2.4</v>
      </c>
      <c r="K260" s="3">
        <v>1.7</v>
      </c>
      <c r="L260" s="3">
        <v>0.9</v>
      </c>
      <c r="M260" s="3">
        <v>13.5</v>
      </c>
      <c r="N260" s="4">
        <v>64320</v>
      </c>
      <c r="O260" s="4" t="str" cm="1">
        <f t="array" ref="O260">_xlfn.IFS(N260&lt;45000,"Under 45K",N260&lt;75000,"45K - 75K",N260&lt;100000,"75K - 100K",N260&gt;=100000,"Over 100K")</f>
        <v>45K - 75K</v>
      </c>
      <c r="P260" s="2" t="s">
        <v>20</v>
      </c>
    </row>
    <row r="261" spans="1:16">
      <c r="A261" s="2" t="s">
        <v>552</v>
      </c>
      <c r="B261" s="2" t="s">
        <v>553</v>
      </c>
      <c r="C261" s="2" t="s">
        <v>435</v>
      </c>
      <c r="D261" s="2" t="s">
        <v>19</v>
      </c>
      <c r="E261" s="15">
        <v>0</v>
      </c>
      <c r="F261" s="3">
        <v>193.6</v>
      </c>
      <c r="G261" s="3">
        <v>199.6</v>
      </c>
      <c r="H261" s="3">
        <v>0.1</v>
      </c>
      <c r="I261" s="3">
        <v>0.1</v>
      </c>
      <c r="J261" s="3">
        <v>6</v>
      </c>
      <c r="K261" s="3">
        <v>3.1</v>
      </c>
      <c r="L261" s="3">
        <v>0.1</v>
      </c>
      <c r="M261" s="3">
        <v>24.6</v>
      </c>
      <c r="N261" s="4">
        <v>44930</v>
      </c>
      <c r="O261" s="4" t="str" cm="1">
        <f t="array" ref="O261">_xlfn.IFS(N261&lt;45000,"Under 45K",N261&lt;75000,"45K - 75K",N261&lt;100000,"75K - 100K",N261&gt;=100000,"Over 100K")</f>
        <v>Under 45K</v>
      </c>
      <c r="P261" s="2" t="s">
        <v>23</v>
      </c>
    </row>
    <row r="262" spans="1:16">
      <c r="A262" s="2" t="s">
        <v>554</v>
      </c>
      <c r="B262" s="2" t="s">
        <v>555</v>
      </c>
      <c r="C262" s="2" t="s">
        <v>435</v>
      </c>
      <c r="D262" s="2" t="s">
        <v>19</v>
      </c>
      <c r="E262" s="15">
        <v>0</v>
      </c>
      <c r="F262" s="3">
        <v>1422.8</v>
      </c>
      <c r="G262" s="3">
        <v>1401.7</v>
      </c>
      <c r="H262" s="3">
        <v>0.8</v>
      </c>
      <c r="I262" s="3">
        <v>0.8</v>
      </c>
      <c r="J262" s="3">
        <v>-21.1</v>
      </c>
      <c r="K262" s="3">
        <v>-1.5</v>
      </c>
      <c r="L262" s="3">
        <v>0.1</v>
      </c>
      <c r="M262" s="3">
        <v>170.4</v>
      </c>
      <c r="N262" s="4">
        <v>35240</v>
      </c>
      <c r="O262" s="4" t="str" cm="1">
        <f t="array" ref="O262">_xlfn.IFS(N262&lt;45000,"Under 45K",N262&lt;75000,"45K - 75K",N262&lt;100000,"75K - 100K",N262&gt;=100000,"Over 100K")</f>
        <v>Under 45K</v>
      </c>
      <c r="P262" s="2" t="s">
        <v>185</v>
      </c>
    </row>
    <row r="263" spans="1:16">
      <c r="A263" s="2" t="s">
        <v>556</v>
      </c>
      <c r="B263" s="2" t="s">
        <v>557</v>
      </c>
      <c r="C263" s="2" t="s">
        <v>435</v>
      </c>
      <c r="D263" s="2" t="s">
        <v>19</v>
      </c>
      <c r="E263" s="15">
        <v>0</v>
      </c>
      <c r="F263" s="3">
        <v>132</v>
      </c>
      <c r="G263" s="3">
        <v>134</v>
      </c>
      <c r="H263" s="3">
        <v>0.1</v>
      </c>
      <c r="I263" s="3">
        <v>0.1</v>
      </c>
      <c r="J263" s="3">
        <v>2</v>
      </c>
      <c r="K263" s="3">
        <v>1.5</v>
      </c>
      <c r="L263" s="3">
        <v>2.4</v>
      </c>
      <c r="M263" s="3">
        <v>12.5</v>
      </c>
      <c r="N263" s="4">
        <v>48400</v>
      </c>
      <c r="O263" s="4" t="str" cm="1">
        <f t="array" ref="O263">_xlfn.IFS(N263&lt;45000,"Under 45K",N263&lt;75000,"45K - 75K",N263&lt;100000,"75K - 100K",N263&gt;=100000,"Over 100K")</f>
        <v>45K - 75K</v>
      </c>
      <c r="P263" s="2" t="s">
        <v>23</v>
      </c>
    </row>
    <row r="264" spans="1:16">
      <c r="A264" s="2" t="s">
        <v>558</v>
      </c>
      <c r="B264" s="2" t="s">
        <v>559</v>
      </c>
      <c r="C264" s="2" t="s">
        <v>435</v>
      </c>
      <c r="D264" s="2" t="s">
        <v>19</v>
      </c>
      <c r="E264" s="2">
        <v>-9.1210700000000006E-2</v>
      </c>
      <c r="F264" s="3">
        <v>15.7</v>
      </c>
      <c r="G264" s="3">
        <v>16.5</v>
      </c>
      <c r="H264" s="3">
        <v>0</v>
      </c>
      <c r="I264" s="3">
        <v>0</v>
      </c>
      <c r="J264" s="3">
        <v>0.8</v>
      </c>
      <c r="K264" s="3">
        <v>5.4</v>
      </c>
      <c r="L264" s="3">
        <v>12</v>
      </c>
      <c r="M264" s="3">
        <v>1.9</v>
      </c>
      <c r="N264" s="4">
        <v>47460</v>
      </c>
      <c r="O264" s="4" t="str" cm="1">
        <f t="array" ref="O264">_xlfn.IFS(N264&lt;45000,"Under 45K",N264&lt;75000,"45K - 75K",N264&lt;100000,"75K - 100K",N264&gt;=100000,"Over 100K")</f>
        <v>45K - 75K</v>
      </c>
      <c r="P264" s="2" t="s">
        <v>23</v>
      </c>
    </row>
    <row r="265" spans="1:16">
      <c r="A265" s="2" t="s">
        <v>560</v>
      </c>
      <c r="B265" s="2" t="s">
        <v>561</v>
      </c>
      <c r="C265" s="2" t="s">
        <v>435</v>
      </c>
      <c r="D265" s="2" t="s">
        <v>19</v>
      </c>
      <c r="E265" s="2">
        <v>-0.66329170000000004</v>
      </c>
      <c r="F265" s="3">
        <v>41</v>
      </c>
      <c r="G265" s="3">
        <v>41.5</v>
      </c>
      <c r="H265" s="3">
        <v>0</v>
      </c>
      <c r="I265" s="3">
        <v>0</v>
      </c>
      <c r="J265" s="3">
        <v>0.4</v>
      </c>
      <c r="K265" s="3">
        <v>1.1000000000000001</v>
      </c>
      <c r="L265" s="3">
        <v>1.6</v>
      </c>
      <c r="M265" s="3">
        <v>2.9</v>
      </c>
      <c r="N265" s="4">
        <v>67430</v>
      </c>
      <c r="O265" s="4" t="str" cm="1">
        <f t="array" ref="O265">_xlfn.IFS(N265&lt;45000,"Under 45K",N265&lt;75000,"45K - 75K",N265&lt;100000,"75K - 100K",N265&gt;=100000,"Over 100K")</f>
        <v>45K - 75K</v>
      </c>
      <c r="P265" s="2" t="s">
        <v>23</v>
      </c>
    </row>
    <row r="266" spans="1:16">
      <c r="A266" s="2" t="s">
        <v>562</v>
      </c>
      <c r="B266" s="2" t="s">
        <v>563</v>
      </c>
      <c r="C266" s="2" t="s">
        <v>564</v>
      </c>
      <c r="D266" s="2" t="s">
        <v>19</v>
      </c>
      <c r="E266" s="2">
        <v>1.2849269999999999</v>
      </c>
      <c r="F266" s="3">
        <v>315.89999999999998</v>
      </c>
      <c r="G266" s="3">
        <v>331</v>
      </c>
      <c r="H266" s="3">
        <v>0.2</v>
      </c>
      <c r="I266" s="3">
        <v>0.2</v>
      </c>
      <c r="J266" s="3">
        <v>15</v>
      </c>
      <c r="K266" s="3">
        <v>4.8</v>
      </c>
      <c r="L266" s="3">
        <v>1.9</v>
      </c>
      <c r="M266" s="3">
        <v>27.6</v>
      </c>
      <c r="N266" s="4">
        <v>69780</v>
      </c>
      <c r="O266" s="4" t="str" cm="1">
        <f t="array" ref="O266">_xlfn.IFS(N266&lt;45000,"Under 45K",N266&lt;75000,"45K - 75K",N266&lt;100000,"75K - 100K",N266&gt;=100000,"Over 100K")</f>
        <v>45K - 75K</v>
      </c>
      <c r="P266" s="2" t="s">
        <v>23</v>
      </c>
    </row>
    <row r="267" spans="1:16">
      <c r="A267" s="2" t="s">
        <v>565</v>
      </c>
      <c r="B267" s="2" t="s">
        <v>566</v>
      </c>
      <c r="C267" s="2" t="s">
        <v>564</v>
      </c>
      <c r="D267" s="2" t="s">
        <v>19</v>
      </c>
      <c r="E267" s="2">
        <v>1.1840010000000001</v>
      </c>
      <c r="F267" s="3">
        <v>56.4</v>
      </c>
      <c r="G267" s="3">
        <v>56.9</v>
      </c>
      <c r="H267" s="3">
        <v>0</v>
      </c>
      <c r="I267" s="3">
        <v>0</v>
      </c>
      <c r="J267" s="3">
        <v>0.5</v>
      </c>
      <c r="K267" s="3">
        <v>0.9</v>
      </c>
      <c r="L267" s="3" t="s">
        <v>30</v>
      </c>
      <c r="M267" s="3">
        <v>4.5</v>
      </c>
      <c r="N267" s="4">
        <v>91670</v>
      </c>
      <c r="O267" s="4" t="str" cm="1">
        <f t="array" ref="O267">_xlfn.IFS(N267&lt;45000,"Under 45K",N267&lt;75000,"45K - 75K",N267&lt;100000,"75K - 100K",N267&gt;=100000,"Over 100K")</f>
        <v>75K - 100K</v>
      </c>
      <c r="P267" s="2" t="s">
        <v>23</v>
      </c>
    </row>
    <row r="268" spans="1:16">
      <c r="A268" s="2" t="s">
        <v>567</v>
      </c>
      <c r="B268" s="2" t="s">
        <v>568</v>
      </c>
      <c r="C268" s="2" t="s">
        <v>564</v>
      </c>
      <c r="D268" s="2" t="s">
        <v>19</v>
      </c>
      <c r="E268" s="2">
        <v>1.1282209999999999</v>
      </c>
      <c r="F268" s="3">
        <v>115.8</v>
      </c>
      <c r="G268" s="3">
        <v>116.5</v>
      </c>
      <c r="H268" s="3">
        <v>0.1</v>
      </c>
      <c r="I268" s="3">
        <v>0.1</v>
      </c>
      <c r="J268" s="3">
        <v>0.7</v>
      </c>
      <c r="K268" s="3">
        <v>0.6</v>
      </c>
      <c r="L268" s="3">
        <v>13.2</v>
      </c>
      <c r="M268" s="3">
        <v>9.8000000000000007</v>
      </c>
      <c r="N268" s="4">
        <v>75260</v>
      </c>
      <c r="O268" s="4" t="str" cm="1">
        <f t="array" ref="O268">_xlfn.IFS(N268&lt;45000,"Under 45K",N268&lt;75000,"45K - 75K",N268&lt;100000,"75K - 100K",N268&gt;=100000,"Over 100K")</f>
        <v>75K - 100K</v>
      </c>
      <c r="P268" s="2" t="s">
        <v>23</v>
      </c>
    </row>
    <row r="269" spans="1:16">
      <c r="A269" s="2" t="s">
        <v>569</v>
      </c>
      <c r="B269" s="2" t="s">
        <v>570</v>
      </c>
      <c r="C269" s="2" t="s">
        <v>564</v>
      </c>
      <c r="D269" s="2" t="s">
        <v>19</v>
      </c>
      <c r="E269" s="2">
        <v>1.12168</v>
      </c>
      <c r="F269" s="3">
        <v>87.1</v>
      </c>
      <c r="G269" s="3">
        <v>89.9</v>
      </c>
      <c r="H269" s="3">
        <v>0.1</v>
      </c>
      <c r="I269" s="3">
        <v>0.1</v>
      </c>
      <c r="J269" s="3">
        <v>2.8</v>
      </c>
      <c r="K269" s="3">
        <v>3.2</v>
      </c>
      <c r="L269" s="3">
        <v>21.2</v>
      </c>
      <c r="M269" s="3">
        <v>7.8</v>
      </c>
      <c r="N269" s="4">
        <v>63490</v>
      </c>
      <c r="O269" s="4" t="str" cm="1">
        <f t="array" ref="O269">_xlfn.IFS(N269&lt;45000,"Under 45K",N269&lt;75000,"45K - 75K",N269&lt;100000,"75K - 100K",N269&gt;=100000,"Over 100K")</f>
        <v>45K - 75K</v>
      </c>
      <c r="P269" s="2" t="s">
        <v>23</v>
      </c>
    </row>
    <row r="270" spans="1:16">
      <c r="A270" s="2" t="s">
        <v>571</v>
      </c>
      <c r="B270" s="2" t="s">
        <v>572</v>
      </c>
      <c r="C270" s="2" t="s">
        <v>564</v>
      </c>
      <c r="D270" s="2" t="s">
        <v>19</v>
      </c>
      <c r="E270" s="2">
        <v>1.1113189999999999</v>
      </c>
      <c r="F270" s="3">
        <v>75.3</v>
      </c>
      <c r="G270" s="3">
        <v>76.599999999999994</v>
      </c>
      <c r="H270" s="3">
        <v>0</v>
      </c>
      <c r="I270" s="3">
        <v>0</v>
      </c>
      <c r="J270" s="3">
        <v>1.3</v>
      </c>
      <c r="K270" s="3">
        <v>1.7</v>
      </c>
      <c r="L270" s="3">
        <v>27</v>
      </c>
      <c r="M270" s="3">
        <v>6.9</v>
      </c>
      <c r="N270" s="4">
        <v>59440</v>
      </c>
      <c r="O270" s="4" t="str" cm="1">
        <f t="array" ref="O270">_xlfn.IFS(N270&lt;45000,"Under 45K",N270&lt;75000,"45K - 75K",N270&lt;100000,"75K - 100K",N270&gt;=100000,"Over 100K")</f>
        <v>45K - 75K</v>
      </c>
      <c r="P270" s="2" t="s">
        <v>23</v>
      </c>
    </row>
    <row r="271" spans="1:16">
      <c r="A271" s="2" t="s">
        <v>573</v>
      </c>
      <c r="B271" s="2" t="s">
        <v>574</v>
      </c>
      <c r="C271" s="2" t="s">
        <v>564</v>
      </c>
      <c r="D271" s="2" t="s">
        <v>19</v>
      </c>
      <c r="E271" s="2">
        <v>1.02251</v>
      </c>
      <c r="F271" s="3">
        <v>135</v>
      </c>
      <c r="G271" s="3">
        <v>140.69999999999999</v>
      </c>
      <c r="H271" s="3">
        <v>0.1</v>
      </c>
      <c r="I271" s="3">
        <v>0.1</v>
      </c>
      <c r="J271" s="3">
        <v>5.7</v>
      </c>
      <c r="K271" s="3">
        <v>4.2</v>
      </c>
      <c r="L271" s="3">
        <v>61.9</v>
      </c>
      <c r="M271" s="3">
        <v>12.3</v>
      </c>
      <c r="N271" s="4">
        <v>111040</v>
      </c>
      <c r="O271" s="4" t="str" cm="1">
        <f t="array" ref="O271">_xlfn.IFS(N271&lt;45000,"Under 45K",N271&lt;75000,"45K - 75K",N271&lt;100000,"75K - 100K",N271&gt;=100000,"Over 100K")</f>
        <v>Over 100K</v>
      </c>
      <c r="P271" s="2" t="s">
        <v>23</v>
      </c>
    </row>
    <row r="272" spans="1:16">
      <c r="A272" s="2" t="s">
        <v>575</v>
      </c>
      <c r="B272" s="2" t="s">
        <v>576</v>
      </c>
      <c r="C272" s="2" t="s">
        <v>564</v>
      </c>
      <c r="D272" s="2" t="s">
        <v>19</v>
      </c>
      <c r="E272" s="2">
        <v>0.98792740000000001</v>
      </c>
      <c r="F272" s="3">
        <v>135.4</v>
      </c>
      <c r="G272" s="3">
        <v>140.30000000000001</v>
      </c>
      <c r="H272" s="3">
        <v>0.1</v>
      </c>
      <c r="I272" s="3">
        <v>0.1</v>
      </c>
      <c r="J272" s="3">
        <v>4.9000000000000004</v>
      </c>
      <c r="K272" s="3">
        <v>3.6</v>
      </c>
      <c r="L272" s="3">
        <v>62.9</v>
      </c>
      <c r="M272" s="3">
        <v>13.4</v>
      </c>
      <c r="N272" s="4">
        <v>72270</v>
      </c>
      <c r="O272" s="4" t="str" cm="1">
        <f t="array" ref="O272">_xlfn.IFS(N272&lt;45000,"Under 45K",N272&lt;75000,"45K - 75K",N272&lt;100000,"75K - 100K",N272&gt;=100000,"Over 100K")</f>
        <v>45K - 75K</v>
      </c>
      <c r="P272" s="2" t="s">
        <v>23</v>
      </c>
    </row>
    <row r="273" spans="1:16">
      <c r="A273" s="2" t="s">
        <v>577</v>
      </c>
      <c r="B273" s="2" t="s">
        <v>578</v>
      </c>
      <c r="C273" s="2" t="s">
        <v>564</v>
      </c>
      <c r="D273" s="2" t="s">
        <v>19</v>
      </c>
      <c r="E273" s="2">
        <v>0.985707</v>
      </c>
      <c r="F273" s="3">
        <v>43.5</v>
      </c>
      <c r="G273" s="3">
        <v>45.2</v>
      </c>
      <c r="H273" s="3">
        <v>0</v>
      </c>
      <c r="I273" s="3">
        <v>0</v>
      </c>
      <c r="J273" s="3">
        <v>1.7</v>
      </c>
      <c r="K273" s="3">
        <v>4</v>
      </c>
      <c r="L273" s="3">
        <v>29.3</v>
      </c>
      <c r="M273" s="3">
        <v>3.6</v>
      </c>
      <c r="N273" s="4">
        <v>70980</v>
      </c>
      <c r="O273" s="4" t="str" cm="1">
        <f t="array" ref="O273">_xlfn.IFS(N273&lt;45000,"Under 45K",N273&lt;75000,"45K - 75K",N273&lt;100000,"75K - 100K",N273&gt;=100000,"Over 100K")</f>
        <v>45K - 75K</v>
      </c>
      <c r="P273" s="2" t="s">
        <v>23</v>
      </c>
    </row>
    <row r="274" spans="1:16">
      <c r="A274" s="2" t="s">
        <v>579</v>
      </c>
      <c r="B274" s="2" t="s">
        <v>580</v>
      </c>
      <c r="C274" s="2" t="s">
        <v>564</v>
      </c>
      <c r="D274" s="2" t="s">
        <v>19</v>
      </c>
      <c r="E274" s="2">
        <v>0.93881079999999995</v>
      </c>
      <c r="F274" s="3">
        <v>167</v>
      </c>
      <c r="G274" s="3">
        <v>175.2</v>
      </c>
      <c r="H274" s="3">
        <v>0.1</v>
      </c>
      <c r="I274" s="3">
        <v>0.1</v>
      </c>
      <c r="J274" s="3">
        <v>8.3000000000000007</v>
      </c>
      <c r="K274" s="3">
        <v>4.9000000000000004</v>
      </c>
      <c r="L274" s="3">
        <v>8.1999999999999993</v>
      </c>
      <c r="M274" s="3">
        <v>12.8</v>
      </c>
      <c r="N274" s="4">
        <v>83480</v>
      </c>
      <c r="O274" s="4" t="str" cm="1">
        <f t="array" ref="O274">_xlfn.IFS(N274&lt;45000,"Under 45K",N274&lt;75000,"45K - 75K",N274&lt;100000,"75K - 100K",N274&gt;=100000,"Over 100K")</f>
        <v>75K - 100K</v>
      </c>
      <c r="P274" s="2" t="s">
        <v>23</v>
      </c>
    </row>
    <row r="275" spans="1:16">
      <c r="A275" s="2" t="s">
        <v>581</v>
      </c>
      <c r="B275" s="2" t="s">
        <v>582</v>
      </c>
      <c r="C275" s="2" t="s">
        <v>564</v>
      </c>
      <c r="D275" s="2" t="s">
        <v>19</v>
      </c>
      <c r="E275" s="2">
        <v>0.88296410000000003</v>
      </c>
      <c r="F275" s="3">
        <v>47.3</v>
      </c>
      <c r="G275" s="3">
        <v>47.2</v>
      </c>
      <c r="H275" s="3">
        <v>0</v>
      </c>
      <c r="I275" s="3">
        <v>0</v>
      </c>
      <c r="J275" s="3">
        <v>-0.1</v>
      </c>
      <c r="K275" s="3">
        <v>-0.3</v>
      </c>
      <c r="L275" s="3">
        <v>25.6</v>
      </c>
      <c r="M275" s="3">
        <v>4.3</v>
      </c>
      <c r="N275" s="4">
        <v>63670</v>
      </c>
      <c r="O275" s="4" t="str" cm="1">
        <f t="array" ref="O275">_xlfn.IFS(N275&lt;45000,"Under 45K",N275&lt;75000,"45K - 75K",N275&lt;100000,"75K - 100K",N275&gt;=100000,"Over 100K")</f>
        <v>45K - 75K</v>
      </c>
      <c r="P275" s="2" t="s">
        <v>23</v>
      </c>
    </row>
    <row r="276" spans="1:16">
      <c r="A276" s="2" t="s">
        <v>583</v>
      </c>
      <c r="B276" s="2" t="s">
        <v>584</v>
      </c>
      <c r="C276" s="2" t="s">
        <v>564</v>
      </c>
      <c r="D276" s="2" t="s">
        <v>19</v>
      </c>
      <c r="E276" s="2">
        <v>0.867039</v>
      </c>
      <c r="F276" s="3">
        <v>30.6</v>
      </c>
      <c r="G276" s="3">
        <v>31.6</v>
      </c>
      <c r="H276" s="3">
        <v>0</v>
      </c>
      <c r="I276" s="3">
        <v>0</v>
      </c>
      <c r="J276" s="3">
        <v>1</v>
      </c>
      <c r="K276" s="3">
        <v>3.2</v>
      </c>
      <c r="L276" s="3">
        <v>2</v>
      </c>
      <c r="M276" s="3">
        <v>2.5</v>
      </c>
      <c r="N276" s="4">
        <v>79450</v>
      </c>
      <c r="O276" s="4" t="str" cm="1">
        <f t="array" ref="O276">_xlfn.IFS(N276&lt;45000,"Under 45K",N276&lt;75000,"45K - 75K",N276&lt;100000,"75K - 100K",N276&gt;=100000,"Over 100K")</f>
        <v>75K - 100K</v>
      </c>
      <c r="P276" s="2" t="s">
        <v>23</v>
      </c>
    </row>
    <row r="277" spans="1:16">
      <c r="A277" s="2" t="s">
        <v>585</v>
      </c>
      <c r="B277" s="2" t="s">
        <v>586</v>
      </c>
      <c r="C277" s="2" t="s">
        <v>564</v>
      </c>
      <c r="D277" s="2" t="s">
        <v>19</v>
      </c>
      <c r="E277" s="2">
        <v>0.84935470000000002</v>
      </c>
      <c r="F277" s="3">
        <v>24.1</v>
      </c>
      <c r="G277" s="3">
        <v>22.8</v>
      </c>
      <c r="H277" s="3">
        <v>0</v>
      </c>
      <c r="I277" s="3">
        <v>0</v>
      </c>
      <c r="J277" s="3">
        <v>-1.3</v>
      </c>
      <c r="K277" s="3">
        <v>-5.5</v>
      </c>
      <c r="L277" s="3" t="s">
        <v>30</v>
      </c>
      <c r="M277" s="3">
        <v>2.2999999999999998</v>
      </c>
      <c r="N277" s="4">
        <v>45680</v>
      </c>
      <c r="O277" s="4" t="str" cm="1">
        <f t="array" ref="O277">_xlfn.IFS(N277&lt;45000,"Under 45K",N277&lt;75000,"45K - 75K",N277&lt;100000,"75K - 100K",N277&gt;=100000,"Over 100K")</f>
        <v>45K - 75K</v>
      </c>
      <c r="P277" s="2" t="s">
        <v>23</v>
      </c>
    </row>
    <row r="278" spans="1:16">
      <c r="A278" s="2" t="s">
        <v>587</v>
      </c>
      <c r="B278" s="2" t="s">
        <v>588</v>
      </c>
      <c r="C278" s="2" t="s">
        <v>564</v>
      </c>
      <c r="D278" s="2" t="s">
        <v>19</v>
      </c>
      <c r="E278" s="2">
        <v>0.71569579999999999</v>
      </c>
      <c r="F278" s="3">
        <v>265.89999999999998</v>
      </c>
      <c r="G278" s="3">
        <v>271.5</v>
      </c>
      <c r="H278" s="3">
        <v>0.2</v>
      </c>
      <c r="I278" s="3">
        <v>0.2</v>
      </c>
      <c r="J278" s="3">
        <v>5.7</v>
      </c>
      <c r="K278" s="3">
        <v>2.1</v>
      </c>
      <c r="L278" s="3">
        <v>17.7</v>
      </c>
      <c r="M278" s="3">
        <v>20</v>
      </c>
      <c r="N278" s="4">
        <v>61300</v>
      </c>
      <c r="O278" s="4" t="str" cm="1">
        <f t="array" ref="O278">_xlfn.IFS(N278&lt;45000,"Under 45K",N278&lt;75000,"45K - 75K",N278&lt;100000,"75K - 100K",N278&gt;=100000,"Over 100K")</f>
        <v>45K - 75K</v>
      </c>
      <c r="P278" s="2" t="s">
        <v>23</v>
      </c>
    </row>
    <row r="279" spans="1:16">
      <c r="A279" s="2" t="s">
        <v>589</v>
      </c>
      <c r="B279" s="2" t="s">
        <v>590</v>
      </c>
      <c r="C279" s="2" t="s">
        <v>564</v>
      </c>
      <c r="D279" s="2" t="s">
        <v>19</v>
      </c>
      <c r="E279" s="2">
        <v>0.70586510000000002</v>
      </c>
      <c r="F279" s="3">
        <v>57.1</v>
      </c>
      <c r="G279" s="3">
        <v>58</v>
      </c>
      <c r="H279" s="3">
        <v>0</v>
      </c>
      <c r="I279" s="3">
        <v>0</v>
      </c>
      <c r="J279" s="3">
        <v>0.9</v>
      </c>
      <c r="K279" s="3">
        <v>1.6</v>
      </c>
      <c r="L279" s="3">
        <v>61.5</v>
      </c>
      <c r="M279" s="3">
        <v>5</v>
      </c>
      <c r="N279" s="4">
        <v>99800</v>
      </c>
      <c r="O279" s="4" t="str" cm="1">
        <f t="array" ref="O279">_xlfn.IFS(N279&lt;45000,"Under 45K",N279&lt;75000,"45K - 75K",N279&lt;100000,"75K - 100K",N279&gt;=100000,"Over 100K")</f>
        <v>75K - 100K</v>
      </c>
      <c r="P279" s="2" t="s">
        <v>23</v>
      </c>
    </row>
    <row r="280" spans="1:16">
      <c r="A280" s="2" t="s">
        <v>591</v>
      </c>
      <c r="B280" s="2" t="s">
        <v>592</v>
      </c>
      <c r="C280" s="2" t="s">
        <v>564</v>
      </c>
      <c r="D280" s="2" t="s">
        <v>19</v>
      </c>
      <c r="E280" s="2">
        <v>0.5801539</v>
      </c>
      <c r="F280" s="3">
        <v>25.7</v>
      </c>
      <c r="G280" s="3">
        <v>26.2</v>
      </c>
      <c r="H280" s="3">
        <v>0</v>
      </c>
      <c r="I280" s="3">
        <v>0</v>
      </c>
      <c r="J280" s="3">
        <v>0.5</v>
      </c>
      <c r="K280" s="3">
        <v>2</v>
      </c>
      <c r="L280" s="3">
        <v>20</v>
      </c>
      <c r="M280" s="3">
        <v>2.2999999999999998</v>
      </c>
      <c r="N280" s="4">
        <v>80690</v>
      </c>
      <c r="O280" s="4" t="str" cm="1">
        <f t="array" ref="O280">_xlfn.IFS(N280&lt;45000,"Under 45K",N280&lt;75000,"45K - 75K",N280&lt;100000,"75K - 100K",N280&gt;=100000,"Over 100K")</f>
        <v>75K - 100K</v>
      </c>
      <c r="P280" s="2" t="s">
        <v>23</v>
      </c>
    </row>
    <row r="281" spans="1:16">
      <c r="A281" s="2" t="s">
        <v>593</v>
      </c>
      <c r="B281" s="2" t="s">
        <v>594</v>
      </c>
      <c r="C281" s="2" t="s">
        <v>564</v>
      </c>
      <c r="D281" s="2" t="s">
        <v>19</v>
      </c>
      <c r="E281" s="2">
        <v>0.47154620000000003</v>
      </c>
      <c r="F281" s="3">
        <v>16.899999999999999</v>
      </c>
      <c r="G281" s="3">
        <v>16.600000000000001</v>
      </c>
      <c r="H281" s="3">
        <v>0</v>
      </c>
      <c r="I281" s="3">
        <v>0</v>
      </c>
      <c r="J281" s="3">
        <v>-0.3</v>
      </c>
      <c r="K281" s="3">
        <v>-1.7</v>
      </c>
      <c r="L281" s="3">
        <v>12</v>
      </c>
      <c r="M281" s="3">
        <v>1.2</v>
      </c>
      <c r="N281" s="4">
        <v>66430</v>
      </c>
      <c r="O281" s="4" t="str" cm="1">
        <f t="array" ref="O281">_xlfn.IFS(N281&lt;45000,"Under 45K",N281&lt;75000,"45K - 75K",N281&lt;100000,"75K - 100K",N281&gt;=100000,"Over 100K")</f>
        <v>45K - 75K</v>
      </c>
      <c r="P281" s="2" t="s">
        <v>152</v>
      </c>
    </row>
    <row r="282" spans="1:16">
      <c r="A282" s="2" t="s">
        <v>595</v>
      </c>
      <c r="B282" s="2" t="s">
        <v>596</v>
      </c>
      <c r="C282" s="2" t="s">
        <v>564</v>
      </c>
      <c r="D282" s="2" t="s">
        <v>19</v>
      </c>
      <c r="E282" s="2">
        <v>0.1590935</v>
      </c>
      <c r="F282" s="3">
        <v>57</v>
      </c>
      <c r="G282" s="3">
        <v>57.1</v>
      </c>
      <c r="H282" s="3">
        <v>0</v>
      </c>
      <c r="I282" s="3">
        <v>0</v>
      </c>
      <c r="J282" s="3">
        <v>0.2</v>
      </c>
      <c r="K282" s="3">
        <v>0.3</v>
      </c>
      <c r="L282" s="3">
        <v>27.9</v>
      </c>
      <c r="M282" s="3">
        <v>6.3</v>
      </c>
      <c r="N282" s="4" t="s">
        <v>30</v>
      </c>
      <c r="O282" s="4" t="str" cm="1">
        <f t="array" ref="O282">_xlfn.IFS(N282&lt;45000,"Under 45K",N282&lt;75000,"45K - 75K",N282&lt;100000,"75K - 100K",N282&gt;=100000,"Over 100K")</f>
        <v>Over 100K</v>
      </c>
      <c r="P282" s="2" t="s">
        <v>185</v>
      </c>
    </row>
    <row r="283" spans="1:16">
      <c r="A283" s="2" t="s">
        <v>597</v>
      </c>
      <c r="B283" s="2" t="s">
        <v>598</v>
      </c>
      <c r="C283" s="2" t="s">
        <v>564</v>
      </c>
      <c r="D283" s="2" t="s">
        <v>19</v>
      </c>
      <c r="E283" s="2">
        <v>0.1222249</v>
      </c>
      <c r="F283" s="3">
        <v>24.8</v>
      </c>
      <c r="G283" s="3">
        <v>24.2</v>
      </c>
      <c r="H283" s="3">
        <v>0</v>
      </c>
      <c r="I283" s="3">
        <v>0</v>
      </c>
      <c r="J283" s="3">
        <v>-0.7</v>
      </c>
      <c r="K283" s="3">
        <v>-2.8</v>
      </c>
      <c r="L283" s="3">
        <v>12.6</v>
      </c>
      <c r="M283" s="3">
        <v>1.8</v>
      </c>
      <c r="N283" s="4">
        <v>53920</v>
      </c>
      <c r="O283" s="4" t="str" cm="1">
        <f t="array" ref="O283">_xlfn.IFS(N283&lt;45000,"Under 45K",N283&lt;75000,"45K - 75K",N283&lt;100000,"75K - 100K",N283&gt;=100000,"Over 100K")</f>
        <v>45K - 75K</v>
      </c>
      <c r="P283" s="2" t="s">
        <v>92</v>
      </c>
    </row>
    <row r="284" spans="1:16">
      <c r="A284" s="2" t="s">
        <v>599</v>
      </c>
      <c r="B284" s="2" t="s">
        <v>600</v>
      </c>
      <c r="C284" s="2" t="s">
        <v>564</v>
      </c>
      <c r="D284" s="2" t="s">
        <v>19</v>
      </c>
      <c r="E284" s="2">
        <v>0.11686680000000001</v>
      </c>
      <c r="F284" s="3">
        <v>306.5</v>
      </c>
      <c r="G284" s="3">
        <v>326</v>
      </c>
      <c r="H284" s="3">
        <v>0.2</v>
      </c>
      <c r="I284" s="3">
        <v>0.2</v>
      </c>
      <c r="J284" s="3">
        <v>19.5</v>
      </c>
      <c r="K284" s="3">
        <v>6.4</v>
      </c>
      <c r="L284" s="3">
        <v>10.199999999999999</v>
      </c>
      <c r="M284" s="3">
        <v>41.8</v>
      </c>
      <c r="N284" s="4">
        <v>45920</v>
      </c>
      <c r="O284" s="4" t="str" cm="1">
        <f t="array" ref="O284">_xlfn.IFS(N284&lt;45000,"Under 45K",N284&lt;75000,"45K - 75K",N284&lt;100000,"75K - 100K",N284&gt;=100000,"Over 100K")</f>
        <v>45K - 75K</v>
      </c>
      <c r="P284" s="2" t="s">
        <v>23</v>
      </c>
    </row>
    <row r="285" spans="1:16">
      <c r="A285" s="2" t="s">
        <v>601</v>
      </c>
      <c r="B285" s="2" t="s">
        <v>602</v>
      </c>
      <c r="C285" s="2" t="s">
        <v>564</v>
      </c>
      <c r="D285" s="2" t="s">
        <v>19</v>
      </c>
      <c r="E285" s="15">
        <v>0</v>
      </c>
      <c r="F285" s="3">
        <v>13.9</v>
      </c>
      <c r="G285" s="3">
        <v>14</v>
      </c>
      <c r="H285" s="3">
        <v>0</v>
      </c>
      <c r="I285" s="3">
        <v>0</v>
      </c>
      <c r="J285" s="3">
        <v>0.1</v>
      </c>
      <c r="K285" s="3">
        <v>0.8</v>
      </c>
      <c r="L285" s="3">
        <v>44</v>
      </c>
      <c r="M285" s="3">
        <v>1.2</v>
      </c>
      <c r="N285" s="4">
        <v>72760</v>
      </c>
      <c r="O285" s="4" t="str" cm="1">
        <f t="array" ref="O285">_xlfn.IFS(N285&lt;45000,"Under 45K",N285&lt;75000,"45K - 75K",N285&lt;100000,"75K - 100K",N285&gt;=100000,"Over 100K")</f>
        <v>45K - 75K</v>
      </c>
      <c r="P285" s="2" t="s">
        <v>165</v>
      </c>
    </row>
    <row r="286" spans="1:16">
      <c r="A286" s="2" t="s">
        <v>603</v>
      </c>
      <c r="B286" s="2" t="s">
        <v>604</v>
      </c>
      <c r="C286" s="2" t="s">
        <v>564</v>
      </c>
      <c r="D286" s="2" t="s">
        <v>19</v>
      </c>
      <c r="E286" s="15">
        <v>0</v>
      </c>
      <c r="F286" s="3">
        <v>28.6</v>
      </c>
      <c r="G286" s="3">
        <v>29.2</v>
      </c>
      <c r="H286" s="3">
        <v>0</v>
      </c>
      <c r="I286" s="3">
        <v>0</v>
      </c>
      <c r="J286" s="3">
        <v>0.6</v>
      </c>
      <c r="K286" s="3">
        <v>2</v>
      </c>
      <c r="L286" s="3">
        <v>66.099999999999994</v>
      </c>
      <c r="M286" s="3">
        <v>2.2000000000000002</v>
      </c>
      <c r="N286" s="4">
        <v>66220</v>
      </c>
      <c r="O286" s="4" t="str" cm="1">
        <f t="array" ref="O286">_xlfn.IFS(N286&lt;45000,"Under 45K",N286&lt;75000,"45K - 75K",N286&lt;100000,"75K - 100K",N286&gt;=100000,"Over 100K")</f>
        <v>45K - 75K</v>
      </c>
      <c r="P286" s="2" t="s">
        <v>23</v>
      </c>
    </row>
    <row r="287" spans="1:16">
      <c r="A287" s="2" t="s">
        <v>605</v>
      </c>
      <c r="B287" s="2" t="s">
        <v>606</v>
      </c>
      <c r="C287" s="2" t="s">
        <v>564</v>
      </c>
      <c r="D287" s="2" t="s">
        <v>19</v>
      </c>
      <c r="E287" s="15">
        <v>0</v>
      </c>
      <c r="F287" s="3">
        <v>15.4</v>
      </c>
      <c r="G287" s="3">
        <v>16</v>
      </c>
      <c r="H287" s="3">
        <v>0</v>
      </c>
      <c r="I287" s="3">
        <v>0</v>
      </c>
      <c r="J287" s="3">
        <v>0.6</v>
      </c>
      <c r="K287" s="3">
        <v>3.8</v>
      </c>
      <c r="L287" s="3">
        <v>46.9</v>
      </c>
      <c r="M287" s="3">
        <v>1.5</v>
      </c>
      <c r="N287" s="4" t="s">
        <v>30</v>
      </c>
      <c r="O287" s="4" t="str" cm="1">
        <f t="array" ref="O287">_xlfn.IFS(N287&lt;45000,"Under 45K",N287&lt;75000,"45K - 75K",N287&lt;100000,"75K - 100K",N287&gt;=100000,"Over 100K")</f>
        <v>Over 100K</v>
      </c>
      <c r="P287" s="2" t="s">
        <v>47</v>
      </c>
    </row>
    <row r="288" spans="1:16">
      <c r="A288" s="2" t="s">
        <v>607</v>
      </c>
      <c r="B288" s="2" t="s">
        <v>608</v>
      </c>
      <c r="C288" s="2" t="s">
        <v>564</v>
      </c>
      <c r="D288" s="2" t="s">
        <v>19</v>
      </c>
      <c r="E288" s="15">
        <v>0</v>
      </c>
      <c r="F288" s="3">
        <v>35.799999999999997</v>
      </c>
      <c r="G288" s="3">
        <v>38</v>
      </c>
      <c r="H288" s="3">
        <v>0</v>
      </c>
      <c r="I288" s="3">
        <v>0</v>
      </c>
      <c r="J288" s="3">
        <v>2.1</v>
      </c>
      <c r="K288" s="3">
        <v>6</v>
      </c>
      <c r="L288" s="3">
        <v>56.2</v>
      </c>
      <c r="M288" s="3">
        <v>4.4000000000000004</v>
      </c>
      <c r="N288" s="4" t="s">
        <v>30</v>
      </c>
      <c r="O288" s="4" t="str" cm="1">
        <f t="array" ref="O288">_xlfn.IFS(N288&lt;45000,"Under 45K",N288&lt;75000,"45K - 75K",N288&lt;100000,"75K - 100K",N288&gt;=100000,"Over 100K")</f>
        <v>Over 100K</v>
      </c>
      <c r="P288" s="2" t="s">
        <v>165</v>
      </c>
    </row>
    <row r="289" spans="1:16">
      <c r="A289" s="2" t="s">
        <v>609</v>
      </c>
      <c r="B289" s="2" t="s">
        <v>610</v>
      </c>
      <c r="C289" s="2" t="s">
        <v>564</v>
      </c>
      <c r="D289" s="2" t="s">
        <v>19</v>
      </c>
      <c r="E289" s="15">
        <v>0</v>
      </c>
      <c r="F289" s="3">
        <v>49.3</v>
      </c>
      <c r="G289" s="3">
        <v>47.4</v>
      </c>
      <c r="H289" s="3">
        <v>0</v>
      </c>
      <c r="I289" s="3">
        <v>0</v>
      </c>
      <c r="J289" s="3">
        <v>-1.9</v>
      </c>
      <c r="K289" s="3">
        <v>-3.9</v>
      </c>
      <c r="L289" s="3">
        <v>15.6</v>
      </c>
      <c r="M289" s="3">
        <v>4.0999999999999996</v>
      </c>
      <c r="N289" s="4">
        <v>60280</v>
      </c>
      <c r="O289" s="4" t="str" cm="1">
        <f t="array" ref="O289">_xlfn.IFS(N289&lt;45000,"Under 45K",N289&lt;75000,"45K - 75K",N289&lt;100000,"75K - 100K",N289&gt;=100000,"Over 100K")</f>
        <v>45K - 75K</v>
      </c>
      <c r="P289" s="2" t="s">
        <v>23</v>
      </c>
    </row>
    <row r="290" spans="1:16">
      <c r="A290" s="2" t="s">
        <v>611</v>
      </c>
      <c r="B290" s="2" t="s">
        <v>612</v>
      </c>
      <c r="C290" s="2" t="s">
        <v>564</v>
      </c>
      <c r="D290" s="2" t="s">
        <v>19</v>
      </c>
      <c r="E290" s="15">
        <v>0</v>
      </c>
      <c r="F290" s="3">
        <v>17.7</v>
      </c>
      <c r="G290" s="3">
        <v>17.7</v>
      </c>
      <c r="H290" s="3">
        <v>0</v>
      </c>
      <c r="I290" s="3">
        <v>0</v>
      </c>
      <c r="J290" s="3">
        <v>0</v>
      </c>
      <c r="K290" s="3">
        <v>-0.3</v>
      </c>
      <c r="L290" s="3">
        <v>25.6</v>
      </c>
      <c r="M290" s="3">
        <v>1.7</v>
      </c>
      <c r="N290" s="4">
        <v>67310</v>
      </c>
      <c r="O290" s="4" t="str" cm="1">
        <f t="array" ref="O290">_xlfn.IFS(N290&lt;45000,"Under 45K",N290&lt;75000,"45K - 75K",N290&lt;100000,"75K - 100K",N290&gt;=100000,"Over 100K")</f>
        <v>45K - 75K</v>
      </c>
      <c r="P290" s="2" t="s">
        <v>152</v>
      </c>
    </row>
    <row r="291" spans="1:16">
      <c r="A291" s="2" t="s">
        <v>613</v>
      </c>
      <c r="B291" s="2" t="s">
        <v>614</v>
      </c>
      <c r="C291" s="2" t="s">
        <v>564</v>
      </c>
      <c r="D291" s="2" t="s">
        <v>19</v>
      </c>
      <c r="E291" s="15">
        <v>0</v>
      </c>
      <c r="F291" s="3">
        <v>34.299999999999997</v>
      </c>
      <c r="G291" s="3">
        <v>35.299999999999997</v>
      </c>
      <c r="H291" s="3">
        <v>0</v>
      </c>
      <c r="I291" s="3">
        <v>0</v>
      </c>
      <c r="J291" s="3">
        <v>0.9</v>
      </c>
      <c r="K291" s="3">
        <v>2.7</v>
      </c>
      <c r="L291" s="3">
        <v>26.7</v>
      </c>
      <c r="M291" s="3">
        <v>3</v>
      </c>
      <c r="N291" s="4">
        <v>71770</v>
      </c>
      <c r="O291" s="4" t="str" cm="1">
        <f t="array" ref="O291">_xlfn.IFS(N291&lt;45000,"Under 45K",N291&lt;75000,"45K - 75K",N291&lt;100000,"75K - 100K",N291&gt;=100000,"Over 100K")</f>
        <v>45K - 75K</v>
      </c>
      <c r="P291" s="2" t="s">
        <v>47</v>
      </c>
    </row>
    <row r="292" spans="1:16">
      <c r="A292" s="2" t="s">
        <v>615</v>
      </c>
      <c r="B292" s="2" t="s">
        <v>616</v>
      </c>
      <c r="C292" s="2" t="s">
        <v>564</v>
      </c>
      <c r="D292" s="2" t="s">
        <v>19</v>
      </c>
      <c r="E292" s="15">
        <v>0</v>
      </c>
      <c r="F292" s="3">
        <v>12.1</v>
      </c>
      <c r="G292" s="3">
        <v>11.5</v>
      </c>
      <c r="H292" s="3">
        <v>0</v>
      </c>
      <c r="I292" s="3">
        <v>0</v>
      </c>
      <c r="J292" s="3">
        <v>-0.6</v>
      </c>
      <c r="K292" s="3">
        <v>-4.5999999999999996</v>
      </c>
      <c r="L292" s="3">
        <v>13.1</v>
      </c>
      <c r="M292" s="3">
        <v>0.8</v>
      </c>
      <c r="N292" s="4">
        <v>60560</v>
      </c>
      <c r="O292" s="4" t="str" cm="1">
        <f t="array" ref="O292">_xlfn.IFS(N292&lt;45000,"Under 45K",N292&lt;75000,"45K - 75K",N292&lt;100000,"75K - 100K",N292&gt;=100000,"Over 100K")</f>
        <v>45K - 75K</v>
      </c>
      <c r="P292" s="2" t="s">
        <v>152</v>
      </c>
    </row>
    <row r="293" spans="1:16">
      <c r="A293" s="2" t="s">
        <v>617</v>
      </c>
      <c r="B293" s="2" t="s">
        <v>618</v>
      </c>
      <c r="C293" s="2" t="s">
        <v>564</v>
      </c>
      <c r="D293" s="2" t="s">
        <v>19</v>
      </c>
      <c r="E293" s="15">
        <v>0</v>
      </c>
      <c r="F293" s="3">
        <v>15.1</v>
      </c>
      <c r="G293" s="3">
        <v>15.2</v>
      </c>
      <c r="H293" s="3">
        <v>0</v>
      </c>
      <c r="I293" s="3">
        <v>0</v>
      </c>
      <c r="J293" s="3">
        <v>0.1</v>
      </c>
      <c r="K293" s="3">
        <v>0.6</v>
      </c>
      <c r="L293" s="3">
        <v>8.5</v>
      </c>
      <c r="M293" s="3">
        <v>1.1000000000000001</v>
      </c>
      <c r="N293" s="4">
        <v>67190</v>
      </c>
      <c r="O293" s="4" t="str" cm="1">
        <f t="array" ref="O293">_xlfn.IFS(N293&lt;45000,"Under 45K",N293&lt;75000,"45K - 75K",N293&lt;100000,"75K - 100K",N293&gt;=100000,"Over 100K")</f>
        <v>45K - 75K</v>
      </c>
      <c r="P293" s="2" t="s">
        <v>47</v>
      </c>
    </row>
    <row r="294" spans="1:16">
      <c r="A294" s="2" t="s">
        <v>619</v>
      </c>
      <c r="B294" s="2" t="s">
        <v>620</v>
      </c>
      <c r="C294" s="2" t="s">
        <v>564</v>
      </c>
      <c r="D294" s="2" t="s">
        <v>19</v>
      </c>
      <c r="E294" s="2">
        <v>-4.0058000000000003E-3</v>
      </c>
      <c r="F294" s="3">
        <v>169.8</v>
      </c>
      <c r="G294" s="3">
        <v>171.6</v>
      </c>
      <c r="H294" s="3">
        <v>0.1</v>
      </c>
      <c r="I294" s="3">
        <v>0.1</v>
      </c>
      <c r="J294" s="3">
        <v>1.8</v>
      </c>
      <c r="K294" s="3">
        <v>1.1000000000000001</v>
      </c>
      <c r="L294" s="3">
        <v>46.8</v>
      </c>
      <c r="M294" s="3">
        <v>19.399999999999999</v>
      </c>
      <c r="N294" s="4" t="s">
        <v>30</v>
      </c>
      <c r="O294" s="4" t="str" cm="1">
        <f t="array" ref="O294">_xlfn.IFS(N294&lt;45000,"Under 45K",N294&lt;75000,"45K - 75K",N294&lt;100000,"75K - 100K",N294&gt;=100000,"Over 100K")</f>
        <v>Over 100K</v>
      </c>
      <c r="P294" s="2" t="s">
        <v>165</v>
      </c>
    </row>
    <row r="295" spans="1:16">
      <c r="A295" s="2" t="s">
        <v>621</v>
      </c>
      <c r="B295" s="2" t="s">
        <v>622</v>
      </c>
      <c r="C295" s="2" t="s">
        <v>564</v>
      </c>
      <c r="D295" s="2" t="s">
        <v>19</v>
      </c>
      <c r="E295" s="2">
        <v>-1.1774700000000001E-2</v>
      </c>
      <c r="F295" s="3">
        <v>92.3</v>
      </c>
      <c r="G295" s="3">
        <v>95.4</v>
      </c>
      <c r="H295" s="3">
        <v>0.1</v>
      </c>
      <c r="I295" s="3">
        <v>0.1</v>
      </c>
      <c r="J295" s="3">
        <v>3.1</v>
      </c>
      <c r="K295" s="3">
        <v>3.3</v>
      </c>
      <c r="L295" s="3">
        <v>11</v>
      </c>
      <c r="M295" s="3">
        <v>7.3</v>
      </c>
      <c r="N295" s="4">
        <v>54830</v>
      </c>
      <c r="O295" s="4" t="str" cm="1">
        <f t="array" ref="O295">_xlfn.IFS(N295&lt;45000,"Under 45K",N295&lt;75000,"45K - 75K",N295&lt;100000,"75K - 100K",N295&gt;=100000,"Over 100K")</f>
        <v>45K - 75K</v>
      </c>
      <c r="P295" s="2" t="s">
        <v>152</v>
      </c>
    </row>
    <row r="296" spans="1:16">
      <c r="A296" s="2" t="s">
        <v>623</v>
      </c>
      <c r="B296" s="2" t="s">
        <v>624</v>
      </c>
      <c r="C296" s="2" t="s">
        <v>564</v>
      </c>
      <c r="D296" s="2" t="s">
        <v>19</v>
      </c>
      <c r="E296" s="2">
        <v>-3.2561699999999999E-2</v>
      </c>
      <c r="F296" s="3">
        <v>19.3</v>
      </c>
      <c r="G296" s="3">
        <v>20.399999999999999</v>
      </c>
      <c r="H296" s="3">
        <v>0</v>
      </c>
      <c r="I296" s="3">
        <v>0</v>
      </c>
      <c r="J296" s="3">
        <v>1.1000000000000001</v>
      </c>
      <c r="K296" s="3">
        <v>5.7</v>
      </c>
      <c r="L296" s="3">
        <v>18.2</v>
      </c>
      <c r="M296" s="3">
        <v>4.5999999999999996</v>
      </c>
      <c r="N296" s="4">
        <v>38820</v>
      </c>
      <c r="O296" s="4" t="str" cm="1">
        <f t="array" ref="O296">_xlfn.IFS(N296&lt;45000,"Under 45K",N296&lt;75000,"45K - 75K",N296&lt;100000,"75K - 100K",N296&gt;=100000,"Over 100K")</f>
        <v>Under 45K</v>
      </c>
      <c r="P296" s="2" t="s">
        <v>47</v>
      </c>
    </row>
    <row r="297" spans="1:16">
      <c r="A297" s="2" t="s">
        <v>625</v>
      </c>
      <c r="B297" s="2" t="s">
        <v>626</v>
      </c>
      <c r="C297" s="2" t="s">
        <v>564</v>
      </c>
      <c r="D297" s="2" t="s">
        <v>19</v>
      </c>
      <c r="E297" s="2">
        <v>-5.1932300000000001E-2</v>
      </c>
      <c r="F297" s="3">
        <v>31.3</v>
      </c>
      <c r="G297" s="3">
        <v>32</v>
      </c>
      <c r="H297" s="3">
        <v>0</v>
      </c>
      <c r="I297" s="3">
        <v>0</v>
      </c>
      <c r="J297" s="3">
        <v>0.7</v>
      </c>
      <c r="K297" s="3">
        <v>2.2999999999999998</v>
      </c>
      <c r="L297" s="3">
        <v>63.5</v>
      </c>
      <c r="M297" s="3">
        <v>2.5</v>
      </c>
      <c r="N297" s="4">
        <v>66280</v>
      </c>
      <c r="O297" s="4" t="str" cm="1">
        <f t="array" ref="O297">_xlfn.IFS(N297&lt;45000,"Under 45K",N297&lt;75000,"45K - 75K",N297&lt;100000,"75K - 100K",N297&gt;=100000,"Over 100K")</f>
        <v>45K - 75K</v>
      </c>
      <c r="P297" s="2" t="s">
        <v>23</v>
      </c>
    </row>
    <row r="298" spans="1:16">
      <c r="A298" s="2" t="s">
        <v>627</v>
      </c>
      <c r="B298" s="2" t="s">
        <v>628</v>
      </c>
      <c r="C298" s="2" t="s">
        <v>564</v>
      </c>
      <c r="D298" s="2" t="s">
        <v>19</v>
      </c>
      <c r="E298" s="2">
        <v>-0.16809730000000001</v>
      </c>
      <c r="F298" s="3">
        <v>151.19999999999999</v>
      </c>
      <c r="G298" s="3">
        <v>154</v>
      </c>
      <c r="H298" s="3">
        <v>0.1</v>
      </c>
      <c r="I298" s="3">
        <v>0.1</v>
      </c>
      <c r="J298" s="3">
        <v>2.8</v>
      </c>
      <c r="K298" s="3">
        <v>1.8</v>
      </c>
      <c r="L298" s="3">
        <v>66.3</v>
      </c>
      <c r="M298" s="3">
        <v>12.7</v>
      </c>
      <c r="N298" s="4">
        <v>42520</v>
      </c>
      <c r="O298" s="4" t="str" cm="1">
        <f t="array" ref="O298">_xlfn.IFS(N298&lt;45000,"Under 45K",N298&lt;75000,"45K - 75K",N298&lt;100000,"75K - 100K",N298&gt;=100000,"Over 100K")</f>
        <v>Under 45K</v>
      </c>
      <c r="P298" s="2" t="s">
        <v>47</v>
      </c>
    </row>
    <row r="299" spans="1:16">
      <c r="A299" s="2" t="s">
        <v>629</v>
      </c>
      <c r="B299" s="2" t="s">
        <v>630</v>
      </c>
      <c r="C299" s="2" t="s">
        <v>564</v>
      </c>
      <c r="D299" s="2" t="s">
        <v>19</v>
      </c>
      <c r="E299" s="2">
        <v>-0.27184520000000001</v>
      </c>
      <c r="F299" s="3">
        <v>43.8</v>
      </c>
      <c r="G299" s="3">
        <v>41.2</v>
      </c>
      <c r="H299" s="3">
        <v>0</v>
      </c>
      <c r="I299" s="3">
        <v>0</v>
      </c>
      <c r="J299" s="3">
        <v>-2.6</v>
      </c>
      <c r="K299" s="3">
        <v>-5.9</v>
      </c>
      <c r="L299" s="3">
        <v>10.7</v>
      </c>
      <c r="M299" s="3">
        <v>5.0999999999999996</v>
      </c>
      <c r="N299" s="4">
        <v>36120</v>
      </c>
      <c r="O299" s="4" t="str" cm="1">
        <f t="array" ref="O299">_xlfn.IFS(N299&lt;45000,"Under 45K",N299&lt;75000,"45K - 75K",N299&lt;100000,"75K - 100K",N299&gt;=100000,"Over 100K")</f>
        <v>Under 45K</v>
      </c>
      <c r="P299" s="2" t="s">
        <v>47</v>
      </c>
    </row>
    <row r="300" spans="1:16">
      <c r="A300" s="2" t="s">
        <v>631</v>
      </c>
      <c r="B300" s="2" t="s">
        <v>632</v>
      </c>
      <c r="C300" s="2" t="s">
        <v>564</v>
      </c>
      <c r="D300" s="2" t="s">
        <v>19</v>
      </c>
      <c r="E300" s="2">
        <v>-0.44700089999999998</v>
      </c>
      <c r="F300" s="3">
        <v>36.4</v>
      </c>
      <c r="G300" s="3">
        <v>36.9</v>
      </c>
      <c r="H300" s="3">
        <v>0</v>
      </c>
      <c r="I300" s="3">
        <v>0</v>
      </c>
      <c r="J300" s="3">
        <v>0.4</v>
      </c>
      <c r="K300" s="3">
        <v>1.2</v>
      </c>
      <c r="L300" s="3">
        <v>28.8</v>
      </c>
      <c r="M300" s="3">
        <v>2.9</v>
      </c>
      <c r="N300" s="4">
        <v>68810</v>
      </c>
      <c r="O300" s="4" t="str" cm="1">
        <f t="array" ref="O300">_xlfn.IFS(N300&lt;45000,"Under 45K",N300&lt;75000,"45K - 75K",N300&lt;100000,"75K - 100K",N300&gt;=100000,"Over 100K")</f>
        <v>45K - 75K</v>
      </c>
      <c r="P300" s="2" t="s">
        <v>23</v>
      </c>
    </row>
    <row r="301" spans="1:16">
      <c r="A301" s="2" t="s">
        <v>633</v>
      </c>
      <c r="B301" s="2" t="s">
        <v>634</v>
      </c>
      <c r="C301" s="2" t="s">
        <v>564</v>
      </c>
      <c r="D301" s="2" t="s">
        <v>19</v>
      </c>
      <c r="E301" s="2">
        <v>-0.56904980000000005</v>
      </c>
      <c r="F301" s="3">
        <v>26.5</v>
      </c>
      <c r="G301" s="3">
        <v>26.2</v>
      </c>
      <c r="H301" s="3">
        <v>0</v>
      </c>
      <c r="I301" s="3">
        <v>0</v>
      </c>
      <c r="J301" s="3">
        <v>-0.3</v>
      </c>
      <c r="K301" s="3">
        <v>-1.2</v>
      </c>
      <c r="L301" s="3">
        <v>61.6</v>
      </c>
      <c r="M301" s="3">
        <v>2.2000000000000002</v>
      </c>
      <c r="N301" s="4">
        <v>60560</v>
      </c>
      <c r="O301" s="4" t="str" cm="1">
        <f t="array" ref="O301">_xlfn.IFS(N301&lt;45000,"Under 45K",N301&lt;75000,"45K - 75K",N301&lt;100000,"75K - 100K",N301&gt;=100000,"Over 100K")</f>
        <v>45K - 75K</v>
      </c>
      <c r="P301" s="2" t="s">
        <v>23</v>
      </c>
    </row>
    <row r="302" spans="1:16">
      <c r="A302" s="2" t="s">
        <v>635</v>
      </c>
      <c r="B302" s="2" t="s">
        <v>636</v>
      </c>
      <c r="C302" s="2" t="s">
        <v>564</v>
      </c>
      <c r="D302" s="2" t="s">
        <v>19</v>
      </c>
      <c r="E302" s="2">
        <v>-0.92952840000000003</v>
      </c>
      <c r="F302" s="3">
        <v>11.6</v>
      </c>
      <c r="G302" s="3">
        <v>11.9</v>
      </c>
      <c r="H302" s="3">
        <v>0</v>
      </c>
      <c r="I302" s="3">
        <v>0</v>
      </c>
      <c r="J302" s="3">
        <v>0.2</v>
      </c>
      <c r="K302" s="3">
        <v>2.1</v>
      </c>
      <c r="L302" s="3">
        <v>62.6</v>
      </c>
      <c r="M302" s="3">
        <v>1</v>
      </c>
      <c r="N302" s="4">
        <v>38480</v>
      </c>
      <c r="O302" s="4" t="str" cm="1">
        <f t="array" ref="O302">_xlfn.IFS(N302&lt;45000,"Under 45K",N302&lt;75000,"45K - 75K",N302&lt;100000,"75K - 100K",N302&gt;=100000,"Over 100K")</f>
        <v>Under 45K</v>
      </c>
      <c r="P302" s="2" t="s">
        <v>165</v>
      </c>
    </row>
    <row r="303" spans="1:16">
      <c r="A303" s="2" t="s">
        <v>637</v>
      </c>
      <c r="B303" s="2" t="s">
        <v>638</v>
      </c>
      <c r="C303" s="2" t="s">
        <v>564</v>
      </c>
      <c r="D303" s="2" t="s">
        <v>19</v>
      </c>
      <c r="E303" s="2">
        <v>-1.0014130000000001</v>
      </c>
      <c r="F303" s="3">
        <v>193</v>
      </c>
      <c r="G303" s="3">
        <v>199.3</v>
      </c>
      <c r="H303" s="3">
        <v>0.1</v>
      </c>
      <c r="I303" s="3">
        <v>0.1</v>
      </c>
      <c r="J303" s="3">
        <v>6.2</v>
      </c>
      <c r="K303" s="3">
        <v>3.2</v>
      </c>
      <c r="L303" s="3">
        <v>0.1</v>
      </c>
      <c r="M303" s="3">
        <v>20.8</v>
      </c>
      <c r="N303" s="4">
        <v>37350</v>
      </c>
      <c r="O303" s="4" t="str" cm="1">
        <f t="array" ref="O303">_xlfn.IFS(N303&lt;45000,"Under 45K",N303&lt;75000,"45K - 75K",N303&lt;100000,"75K - 100K",N303&gt;=100000,"Over 100K")</f>
        <v>Under 45K</v>
      </c>
      <c r="P303" s="2" t="s">
        <v>47</v>
      </c>
    </row>
    <row r="304" spans="1:16">
      <c r="A304" s="2" t="s">
        <v>639</v>
      </c>
      <c r="B304" s="2" t="s">
        <v>640</v>
      </c>
      <c r="C304" s="2" t="s">
        <v>564</v>
      </c>
      <c r="D304" s="2" t="s">
        <v>19</v>
      </c>
      <c r="E304" s="2">
        <v>-1.575769</v>
      </c>
      <c r="F304" s="3">
        <v>4.5999999999999996</v>
      </c>
      <c r="G304" s="3">
        <v>4.9000000000000004</v>
      </c>
      <c r="H304" s="3">
        <v>0</v>
      </c>
      <c r="I304" s="3">
        <v>0</v>
      </c>
      <c r="J304" s="3">
        <v>0.3</v>
      </c>
      <c r="K304" s="3">
        <v>6.1</v>
      </c>
      <c r="L304" s="3">
        <v>24.3</v>
      </c>
      <c r="M304" s="3">
        <v>0.7</v>
      </c>
      <c r="N304" s="4">
        <v>55600</v>
      </c>
      <c r="O304" s="4" t="str" cm="1">
        <f t="array" ref="O304">_xlfn.IFS(N304&lt;45000,"Under 45K",N304&lt;75000,"45K - 75K",N304&lt;100000,"75K - 100K",N304&gt;=100000,"Over 100K")</f>
        <v>45K - 75K</v>
      </c>
      <c r="P304" s="2" t="s">
        <v>47</v>
      </c>
    </row>
    <row r="305" spans="1:16">
      <c r="A305" s="2" t="s">
        <v>641</v>
      </c>
      <c r="B305" s="2" t="s">
        <v>642</v>
      </c>
      <c r="C305" s="2" t="s">
        <v>564</v>
      </c>
      <c r="D305" s="2" t="s">
        <v>19</v>
      </c>
      <c r="E305" s="2">
        <v>-1.8143359999999999</v>
      </c>
      <c r="F305" s="3">
        <v>19.100000000000001</v>
      </c>
      <c r="G305" s="3">
        <v>20.2</v>
      </c>
      <c r="H305" s="3">
        <v>0</v>
      </c>
      <c r="I305" s="3">
        <v>0</v>
      </c>
      <c r="J305" s="3">
        <v>1</v>
      </c>
      <c r="K305" s="3">
        <v>5.5</v>
      </c>
      <c r="L305" s="3">
        <v>20.7</v>
      </c>
      <c r="M305" s="3">
        <v>2.1</v>
      </c>
      <c r="N305" s="4">
        <v>62360</v>
      </c>
      <c r="O305" s="4" t="str" cm="1">
        <f t="array" ref="O305">_xlfn.IFS(N305&lt;45000,"Under 45K",N305&lt;75000,"45K - 75K",N305&lt;100000,"75K - 100K",N305&gt;=100000,"Over 100K")</f>
        <v>45K - 75K</v>
      </c>
      <c r="P305" s="2" t="s">
        <v>165</v>
      </c>
    </row>
    <row r="306" spans="1:16">
      <c r="A306" s="2" t="s">
        <v>643</v>
      </c>
      <c r="B306" s="2" t="s">
        <v>644</v>
      </c>
      <c r="C306" s="2" t="s">
        <v>564</v>
      </c>
      <c r="D306" s="2" t="s">
        <v>19</v>
      </c>
      <c r="E306" s="2">
        <v>-2.6697579999999999</v>
      </c>
      <c r="F306" s="3">
        <v>12.3</v>
      </c>
      <c r="G306" s="3">
        <v>12.9</v>
      </c>
      <c r="H306" s="3">
        <v>0</v>
      </c>
      <c r="I306" s="3">
        <v>0</v>
      </c>
      <c r="J306" s="3">
        <v>0.6</v>
      </c>
      <c r="K306" s="3">
        <v>4.5</v>
      </c>
      <c r="L306" s="3">
        <v>25.4</v>
      </c>
      <c r="M306" s="3">
        <v>1.8</v>
      </c>
      <c r="N306" s="4" t="s">
        <v>30</v>
      </c>
      <c r="O306" s="4" t="str" cm="1">
        <f t="array" ref="O306">_xlfn.IFS(N306&lt;45000,"Under 45K",N306&lt;75000,"45K - 75K",N306&lt;100000,"75K - 100K",N306&gt;=100000,"Over 100K")</f>
        <v>Over 100K</v>
      </c>
      <c r="P306" s="2" t="s">
        <v>165</v>
      </c>
    </row>
    <row r="307" spans="1:16">
      <c r="A307" s="2" t="s">
        <v>645</v>
      </c>
      <c r="B307" s="2" t="s">
        <v>646</v>
      </c>
      <c r="C307" s="2" t="s">
        <v>647</v>
      </c>
      <c r="D307" s="2" t="s">
        <v>19</v>
      </c>
      <c r="E307" s="2">
        <v>1.5276670000000001</v>
      </c>
      <c r="F307" s="3">
        <v>4</v>
      </c>
      <c r="G307" s="3">
        <v>4.3</v>
      </c>
      <c r="H307" s="3">
        <v>0</v>
      </c>
      <c r="I307" s="3">
        <v>0</v>
      </c>
      <c r="J307" s="3">
        <v>0.4</v>
      </c>
      <c r="K307" s="3">
        <v>9.3000000000000007</v>
      </c>
      <c r="L307" s="3">
        <v>8.1</v>
      </c>
      <c r="M307" s="3">
        <v>0.3</v>
      </c>
      <c r="N307" s="4">
        <v>98910</v>
      </c>
      <c r="O307" s="4" t="str" cm="1">
        <f t="array" ref="O307">_xlfn.IFS(N307&lt;45000,"Under 45K",N307&lt;75000,"45K - 75K",N307&lt;100000,"75K - 100K",N307&gt;=100000,"Over 100K")</f>
        <v>75K - 100K</v>
      </c>
      <c r="P307" s="2" t="s">
        <v>20</v>
      </c>
    </row>
    <row r="308" spans="1:16">
      <c r="A308" s="2" t="s">
        <v>648</v>
      </c>
      <c r="B308" s="2" t="s">
        <v>649</v>
      </c>
      <c r="C308" s="2" t="s">
        <v>647</v>
      </c>
      <c r="D308" s="2" t="s">
        <v>19</v>
      </c>
      <c r="E308" s="2">
        <v>1.3428089999999999</v>
      </c>
      <c r="F308" s="3">
        <v>90.9</v>
      </c>
      <c r="G308" s="3">
        <v>95.9</v>
      </c>
      <c r="H308" s="3">
        <v>0.1</v>
      </c>
      <c r="I308" s="3">
        <v>0.1</v>
      </c>
      <c r="J308" s="3">
        <v>5</v>
      </c>
      <c r="K308" s="3">
        <v>5.5</v>
      </c>
      <c r="L308" s="3">
        <v>12.2</v>
      </c>
      <c r="M308" s="3">
        <v>6.2</v>
      </c>
      <c r="N308" s="4">
        <v>73850</v>
      </c>
      <c r="O308" s="4" t="str" cm="1">
        <f t="array" ref="O308">_xlfn.IFS(N308&lt;45000,"Under 45K",N308&lt;75000,"45K - 75K",N308&lt;100000,"75K - 100K",N308&gt;=100000,"Over 100K")</f>
        <v>45K - 75K</v>
      </c>
      <c r="P308" s="2" t="s">
        <v>23</v>
      </c>
    </row>
    <row r="309" spans="1:16">
      <c r="A309" s="2" t="s">
        <v>650</v>
      </c>
      <c r="B309" s="2" t="s">
        <v>651</v>
      </c>
      <c r="C309" s="2" t="s">
        <v>647</v>
      </c>
      <c r="D309" s="2" t="s">
        <v>19</v>
      </c>
      <c r="E309" s="2">
        <v>1.1462669999999999</v>
      </c>
      <c r="F309" s="3">
        <v>187.4</v>
      </c>
      <c r="G309" s="3">
        <v>215.5</v>
      </c>
      <c r="H309" s="3">
        <v>0.1</v>
      </c>
      <c r="I309" s="3">
        <v>0.1</v>
      </c>
      <c r="J309" s="3">
        <v>28.2</v>
      </c>
      <c r="K309" s="3">
        <v>15</v>
      </c>
      <c r="L309" s="3">
        <v>3.3</v>
      </c>
      <c r="M309" s="3">
        <v>13.3</v>
      </c>
      <c r="N309" s="4">
        <v>95410</v>
      </c>
      <c r="O309" s="4" t="str" cm="1">
        <f t="array" ref="O309">_xlfn.IFS(N309&lt;45000,"Under 45K",N309&lt;75000,"45K - 75K",N309&lt;100000,"75K - 100K",N309&gt;=100000,"Over 100K")</f>
        <v>75K - 100K</v>
      </c>
      <c r="P309" s="2" t="s">
        <v>20</v>
      </c>
    </row>
    <row r="310" spans="1:16">
      <c r="A310" s="2" t="s">
        <v>652</v>
      </c>
      <c r="B310" s="2" t="s">
        <v>653</v>
      </c>
      <c r="C310" s="2" t="s">
        <v>647</v>
      </c>
      <c r="D310" s="2" t="s">
        <v>19</v>
      </c>
      <c r="E310" s="2">
        <v>0.63290630000000003</v>
      </c>
      <c r="F310" s="3">
        <v>15.8</v>
      </c>
      <c r="G310" s="3">
        <v>17.3</v>
      </c>
      <c r="H310" s="3">
        <v>0</v>
      </c>
      <c r="I310" s="3">
        <v>0</v>
      </c>
      <c r="J310" s="3">
        <v>1.5</v>
      </c>
      <c r="K310" s="3">
        <v>9.5</v>
      </c>
      <c r="L310" s="3">
        <v>4.4000000000000004</v>
      </c>
      <c r="M310" s="3">
        <v>0.7</v>
      </c>
      <c r="N310" s="4">
        <v>92120</v>
      </c>
      <c r="O310" s="4" t="str" cm="1">
        <f t="array" ref="O310">_xlfn.IFS(N310&lt;45000,"Under 45K",N310&lt;75000,"45K - 75K",N310&lt;100000,"75K - 100K",N310&gt;=100000,"Over 100K")</f>
        <v>75K - 100K</v>
      </c>
      <c r="P310" s="2" t="s">
        <v>304</v>
      </c>
    </row>
    <row r="311" spans="1:16">
      <c r="A311" s="2" t="s">
        <v>654</v>
      </c>
      <c r="B311" s="2" t="s">
        <v>655</v>
      </c>
      <c r="C311" s="2" t="s">
        <v>647</v>
      </c>
      <c r="D311" s="2" t="s">
        <v>19</v>
      </c>
      <c r="E311" s="2">
        <v>0.62791850000000005</v>
      </c>
      <c r="F311" s="3">
        <v>9.6999999999999993</v>
      </c>
      <c r="G311" s="3">
        <v>9.9</v>
      </c>
      <c r="H311" s="3">
        <v>0</v>
      </c>
      <c r="I311" s="3">
        <v>0</v>
      </c>
      <c r="J311" s="3">
        <v>0.2</v>
      </c>
      <c r="K311" s="3">
        <v>1.8</v>
      </c>
      <c r="L311" s="3" t="s">
        <v>30</v>
      </c>
      <c r="M311" s="3">
        <v>0.3</v>
      </c>
      <c r="N311" s="4">
        <v>152800</v>
      </c>
      <c r="O311" s="4" t="str" cm="1">
        <f t="array" ref="O311">_xlfn.IFS(N311&lt;45000,"Under 45K",N311&lt;75000,"45K - 75K",N311&lt;100000,"75K - 100K",N311&gt;=100000,"Over 100K")</f>
        <v>Over 100K</v>
      </c>
      <c r="P311" s="2" t="s">
        <v>304</v>
      </c>
    </row>
    <row r="312" spans="1:16">
      <c r="A312" s="2" t="s">
        <v>656</v>
      </c>
      <c r="B312" s="2" t="s">
        <v>657</v>
      </c>
      <c r="C312" s="2" t="s">
        <v>647</v>
      </c>
      <c r="D312" s="2" t="s">
        <v>19</v>
      </c>
      <c r="E312" s="2">
        <v>0.60587049999999998</v>
      </c>
      <c r="F312" s="3">
        <v>335.1</v>
      </c>
      <c r="G312" s="3">
        <v>350.5</v>
      </c>
      <c r="H312" s="3">
        <v>0.2</v>
      </c>
      <c r="I312" s="3">
        <v>0.2</v>
      </c>
      <c r="J312" s="3">
        <v>15.4</v>
      </c>
      <c r="K312" s="3">
        <v>4.5999999999999996</v>
      </c>
      <c r="L312" s="3">
        <v>0.6</v>
      </c>
      <c r="M312" s="3">
        <v>14.2</v>
      </c>
      <c r="N312" s="4">
        <v>137480</v>
      </c>
      <c r="O312" s="4" t="str" cm="1">
        <f t="array" ref="O312">_xlfn.IFS(N312&lt;45000,"Under 45K",N312&lt;75000,"45K - 75K",N312&lt;100000,"75K - 100K",N312&gt;=100000,"Over 100K")</f>
        <v>Over 100K</v>
      </c>
      <c r="P312" s="2" t="s">
        <v>304</v>
      </c>
    </row>
    <row r="313" spans="1:16">
      <c r="A313" s="2" t="s">
        <v>658</v>
      </c>
      <c r="B313" s="2" t="s">
        <v>659</v>
      </c>
      <c r="C313" s="2" t="s">
        <v>647</v>
      </c>
      <c r="D313" s="2" t="s">
        <v>19</v>
      </c>
      <c r="E313" s="2">
        <v>0.56489529999999999</v>
      </c>
      <c r="F313" s="3">
        <v>10.7</v>
      </c>
      <c r="G313" s="3">
        <v>12.6</v>
      </c>
      <c r="H313" s="3">
        <v>0</v>
      </c>
      <c r="I313" s="3">
        <v>0</v>
      </c>
      <c r="J313" s="3">
        <v>2</v>
      </c>
      <c r="K313" s="3">
        <v>18.399999999999999</v>
      </c>
      <c r="L313" s="3">
        <v>0.5</v>
      </c>
      <c r="M313" s="3">
        <v>1</v>
      </c>
      <c r="N313" s="4">
        <v>61560</v>
      </c>
      <c r="O313" s="4" t="str" cm="1">
        <f t="array" ref="O313">_xlfn.IFS(N313&lt;45000,"Under 45K",N313&lt;75000,"45K - 75K",N313&lt;100000,"75K - 100K",N313&gt;=100000,"Over 100K")</f>
        <v>45K - 75K</v>
      </c>
      <c r="P313" s="2" t="s">
        <v>47</v>
      </c>
    </row>
    <row r="314" spans="1:16">
      <c r="A314" s="2" t="s">
        <v>660</v>
      </c>
      <c r="B314" s="2" t="s">
        <v>661</v>
      </c>
      <c r="C314" s="2" t="s">
        <v>647</v>
      </c>
      <c r="D314" s="2" t="s">
        <v>19</v>
      </c>
      <c r="E314" s="2">
        <v>0.50401940000000001</v>
      </c>
      <c r="F314" s="3">
        <v>47.8</v>
      </c>
      <c r="G314" s="3">
        <v>51.6</v>
      </c>
      <c r="H314" s="3">
        <v>0</v>
      </c>
      <c r="I314" s="3">
        <v>0</v>
      </c>
      <c r="J314" s="3">
        <v>3.8</v>
      </c>
      <c r="K314" s="3">
        <v>8</v>
      </c>
      <c r="L314" s="3">
        <v>11.5</v>
      </c>
      <c r="M314" s="3">
        <v>2.4</v>
      </c>
      <c r="N314" s="4">
        <v>134830</v>
      </c>
      <c r="O314" s="4" t="str" cm="1">
        <f t="array" ref="O314">_xlfn.IFS(N314&lt;45000,"Under 45K",N314&lt;75000,"45K - 75K",N314&lt;100000,"75K - 100K",N314&gt;=100000,"Over 100K")</f>
        <v>Over 100K</v>
      </c>
      <c r="P314" s="2" t="s">
        <v>304</v>
      </c>
    </row>
    <row r="315" spans="1:16">
      <c r="A315" s="2" t="s">
        <v>662</v>
      </c>
      <c r="B315" s="2" t="s">
        <v>663</v>
      </c>
      <c r="C315" s="2" t="s">
        <v>647</v>
      </c>
      <c r="D315" s="2" t="s">
        <v>19</v>
      </c>
      <c r="E315" s="2">
        <v>0.24131910000000001</v>
      </c>
      <c r="F315" s="3">
        <v>53.8</v>
      </c>
      <c r="G315" s="3">
        <v>58.5</v>
      </c>
      <c r="H315" s="3">
        <v>0</v>
      </c>
      <c r="I315" s="3">
        <v>0</v>
      </c>
      <c r="J315" s="3">
        <v>4.5999999999999996</v>
      </c>
      <c r="K315" s="3">
        <v>8.6</v>
      </c>
      <c r="L315" s="3">
        <v>3.9</v>
      </c>
      <c r="M315" s="3">
        <v>2.7</v>
      </c>
      <c r="N315" s="4">
        <v>223210</v>
      </c>
      <c r="O315" s="4" t="str" cm="1">
        <f t="array" ref="O315">_xlfn.IFS(N315&lt;45000,"Under 45K",N315&lt;75000,"45K - 75K",N315&lt;100000,"75K - 100K",N315&gt;=100000,"Over 100K")</f>
        <v>Over 100K</v>
      </c>
      <c r="P315" s="2" t="s">
        <v>20</v>
      </c>
    </row>
    <row r="316" spans="1:16">
      <c r="A316" s="2" t="s">
        <v>664</v>
      </c>
      <c r="B316" s="2" t="s">
        <v>665</v>
      </c>
      <c r="C316" s="2" t="s">
        <v>647</v>
      </c>
      <c r="D316" s="2" t="s">
        <v>19</v>
      </c>
      <c r="E316" s="2">
        <v>0.22955680000000001</v>
      </c>
      <c r="F316" s="3">
        <v>41.7</v>
      </c>
      <c r="G316" s="3">
        <v>43.1</v>
      </c>
      <c r="H316" s="3">
        <v>0</v>
      </c>
      <c r="I316" s="3">
        <v>0</v>
      </c>
      <c r="J316" s="3">
        <v>1.5</v>
      </c>
      <c r="K316" s="3">
        <v>3.6</v>
      </c>
      <c r="L316" s="3">
        <v>6.8</v>
      </c>
      <c r="M316" s="3">
        <v>2.6</v>
      </c>
      <c r="N316" s="4">
        <v>64030</v>
      </c>
      <c r="O316" s="4" t="str" cm="1">
        <f t="array" ref="O316">_xlfn.IFS(N316&lt;45000,"Under 45K",N316&lt;75000,"45K - 75K",N316&lt;100000,"75K - 100K",N316&gt;=100000,"Over 100K")</f>
        <v>45K - 75K</v>
      </c>
      <c r="P316" s="2" t="s">
        <v>152</v>
      </c>
    </row>
    <row r="317" spans="1:16">
      <c r="A317" s="2" t="s">
        <v>666</v>
      </c>
      <c r="B317" s="2" t="s">
        <v>667</v>
      </c>
      <c r="C317" s="2" t="s">
        <v>647</v>
      </c>
      <c r="D317" s="2" t="s">
        <v>19</v>
      </c>
      <c r="E317" s="2">
        <v>0.22940969999999999</v>
      </c>
      <c r="F317" s="3">
        <v>3391</v>
      </c>
      <c r="G317" s="3">
        <v>3557.1</v>
      </c>
      <c r="H317" s="3">
        <v>2</v>
      </c>
      <c r="I317" s="3">
        <v>2</v>
      </c>
      <c r="J317" s="3">
        <v>166.1</v>
      </c>
      <c r="K317" s="3">
        <v>4.9000000000000004</v>
      </c>
      <c r="L317" s="3">
        <v>0.5</v>
      </c>
      <c r="M317" s="3">
        <v>189.1</v>
      </c>
      <c r="N317" s="4">
        <v>93600</v>
      </c>
      <c r="O317" s="4" t="str" cm="1">
        <f t="array" ref="O317">_xlfn.IFS(N317&lt;45000,"Under 45K",N317&lt;75000,"45K - 75K",N317&lt;100000,"75K - 100K",N317&gt;=100000,"Over 100K")</f>
        <v>75K - 100K</v>
      </c>
      <c r="P317" s="2" t="s">
        <v>23</v>
      </c>
    </row>
    <row r="318" spans="1:16">
      <c r="A318" s="2" t="s">
        <v>668</v>
      </c>
      <c r="B318" s="2" t="s">
        <v>669</v>
      </c>
      <c r="C318" s="2" t="s">
        <v>647</v>
      </c>
      <c r="D318" s="2" t="s">
        <v>19</v>
      </c>
      <c r="E318" s="2">
        <v>0.21901090000000001</v>
      </c>
      <c r="F318" s="3">
        <v>16.100000000000001</v>
      </c>
      <c r="G318" s="3">
        <v>16.600000000000001</v>
      </c>
      <c r="H318" s="3">
        <v>0</v>
      </c>
      <c r="I318" s="3">
        <v>0</v>
      </c>
      <c r="J318" s="3">
        <v>0.5</v>
      </c>
      <c r="K318" s="3">
        <v>3.3</v>
      </c>
      <c r="L318" s="3" t="s">
        <v>30</v>
      </c>
      <c r="M318" s="3">
        <v>1.3</v>
      </c>
      <c r="N318" s="4">
        <v>60280</v>
      </c>
      <c r="O318" s="4" t="str" cm="1">
        <f t="array" ref="O318">_xlfn.IFS(N318&lt;45000,"Under 45K",N318&lt;75000,"45K - 75K",N318&lt;100000,"75K - 100K",N318&gt;=100000,"Over 100K")</f>
        <v>45K - 75K</v>
      </c>
      <c r="P318" s="2" t="s">
        <v>23</v>
      </c>
    </row>
    <row r="319" spans="1:16">
      <c r="A319" s="2" t="s">
        <v>670</v>
      </c>
      <c r="B319" s="2" t="s">
        <v>671</v>
      </c>
      <c r="C319" s="2" t="s">
        <v>647</v>
      </c>
      <c r="D319" s="2" t="s">
        <v>19</v>
      </c>
      <c r="E319" s="2">
        <v>0.19662650000000001</v>
      </c>
      <c r="F319" s="3">
        <v>8.6</v>
      </c>
      <c r="G319" s="3">
        <v>9.5</v>
      </c>
      <c r="H319" s="3">
        <v>0</v>
      </c>
      <c r="I319" s="3">
        <v>0</v>
      </c>
      <c r="J319" s="3">
        <v>0.9</v>
      </c>
      <c r="K319" s="3">
        <v>11.1</v>
      </c>
      <c r="L319" s="3">
        <v>1</v>
      </c>
      <c r="M319" s="3">
        <v>0.5</v>
      </c>
      <c r="N319" s="4">
        <v>128790</v>
      </c>
      <c r="O319" s="4" t="str" cm="1">
        <f t="array" ref="O319">_xlfn.IFS(N319&lt;45000,"Under 45K",N319&lt;75000,"45K - 75K",N319&lt;100000,"75K - 100K",N319&gt;=100000,"Over 100K")</f>
        <v>Over 100K</v>
      </c>
      <c r="P319" s="2" t="s">
        <v>20</v>
      </c>
    </row>
    <row r="320" spans="1:16">
      <c r="A320" s="2" t="s">
        <v>672</v>
      </c>
      <c r="B320" s="2" t="s">
        <v>673</v>
      </c>
      <c r="C320" s="2" t="s">
        <v>647</v>
      </c>
      <c r="D320" s="2" t="s">
        <v>19</v>
      </c>
      <c r="E320" s="2">
        <v>0.19005720000000001</v>
      </c>
      <c r="F320" s="3">
        <v>320.39999999999998</v>
      </c>
      <c r="G320" s="3">
        <v>448.8</v>
      </c>
      <c r="H320" s="3">
        <v>0.2</v>
      </c>
      <c r="I320" s="3">
        <v>0.3</v>
      </c>
      <c r="J320" s="3">
        <v>128.4</v>
      </c>
      <c r="K320" s="3">
        <v>40.1</v>
      </c>
      <c r="L320" s="3">
        <v>1</v>
      </c>
      <c r="M320" s="3">
        <v>29.5</v>
      </c>
      <c r="N320" s="4">
        <v>129210</v>
      </c>
      <c r="O320" s="4" t="str" cm="1">
        <f t="array" ref="O320">_xlfn.IFS(N320&lt;45000,"Under 45K",N320&lt;75000,"45K - 75K",N320&lt;100000,"75K - 100K",N320&gt;=100000,"Over 100K")</f>
        <v>Over 100K</v>
      </c>
      <c r="P320" s="2" t="s">
        <v>20</v>
      </c>
    </row>
    <row r="321" spans="1:16">
      <c r="A321" s="2" t="s">
        <v>674</v>
      </c>
      <c r="B321" s="2" t="s">
        <v>675</v>
      </c>
      <c r="C321" s="2" t="s">
        <v>647</v>
      </c>
      <c r="D321" s="2" t="s">
        <v>19</v>
      </c>
      <c r="E321" s="2">
        <v>0.1616631</v>
      </c>
      <c r="F321" s="3">
        <v>5.9</v>
      </c>
      <c r="G321" s="3">
        <v>6.2</v>
      </c>
      <c r="H321" s="3">
        <v>0</v>
      </c>
      <c r="I321" s="3">
        <v>0</v>
      </c>
      <c r="J321" s="3">
        <v>0.3</v>
      </c>
      <c r="K321" s="3">
        <v>4.4000000000000004</v>
      </c>
      <c r="L321" s="3">
        <v>12</v>
      </c>
      <c r="M321" s="3">
        <v>0.2</v>
      </c>
      <c r="N321" s="4" t="s">
        <v>676</v>
      </c>
      <c r="O321" s="4" t="str" cm="1">
        <f t="array" ref="O321">_xlfn.IFS(N321&lt;45000,"Under 45K",N321&lt;75000,"45K - 75K",N321&lt;100000,"75K - 100K",N321&gt;=100000,"Over 100K")</f>
        <v>Over 100K</v>
      </c>
      <c r="P321" s="2" t="s">
        <v>304</v>
      </c>
    </row>
    <row r="322" spans="1:16">
      <c r="A322" s="2" t="s">
        <v>677</v>
      </c>
      <c r="B322" s="2" t="s">
        <v>678</v>
      </c>
      <c r="C322" s="2" t="s">
        <v>647</v>
      </c>
      <c r="D322" s="2" t="s">
        <v>19</v>
      </c>
      <c r="E322" s="2">
        <v>0.1151615</v>
      </c>
      <c r="F322" s="3">
        <v>160</v>
      </c>
      <c r="G322" s="3">
        <v>182.1</v>
      </c>
      <c r="H322" s="3">
        <v>0.1</v>
      </c>
      <c r="I322" s="3">
        <v>0.1</v>
      </c>
      <c r="J322" s="3">
        <v>22.1</v>
      </c>
      <c r="K322" s="3">
        <v>13.8</v>
      </c>
      <c r="L322" s="3">
        <v>2.2000000000000002</v>
      </c>
      <c r="M322" s="3">
        <v>10.199999999999999</v>
      </c>
      <c r="N322" s="4">
        <v>98340</v>
      </c>
      <c r="O322" s="4" t="str" cm="1">
        <f t="array" ref="O322">_xlfn.IFS(N322&lt;45000,"Under 45K",N322&lt;75000,"45K - 75K",N322&lt;100000,"75K - 100K",N322&gt;=100000,"Over 100K")</f>
        <v>75K - 100K</v>
      </c>
      <c r="P322" s="2" t="s">
        <v>20</v>
      </c>
    </row>
    <row r="323" spans="1:16">
      <c r="A323" s="2" t="s">
        <v>679</v>
      </c>
      <c r="B323" s="2" t="s">
        <v>680</v>
      </c>
      <c r="C323" s="2" t="s">
        <v>647</v>
      </c>
      <c r="D323" s="2" t="s">
        <v>19</v>
      </c>
      <c r="E323" s="2">
        <v>0.1059147</v>
      </c>
      <c r="F323" s="3">
        <v>162.69999999999999</v>
      </c>
      <c r="G323" s="3">
        <v>195.8</v>
      </c>
      <c r="H323" s="3">
        <v>0.1</v>
      </c>
      <c r="I323" s="3">
        <v>0.1</v>
      </c>
      <c r="J323" s="3">
        <v>33.200000000000003</v>
      </c>
      <c r="K323" s="3">
        <v>20.399999999999999</v>
      </c>
      <c r="L323" s="3">
        <v>1.5</v>
      </c>
      <c r="M323" s="3">
        <v>12</v>
      </c>
      <c r="N323" s="4">
        <v>133260</v>
      </c>
      <c r="O323" s="4" t="str" cm="1">
        <f t="array" ref="O323">_xlfn.IFS(N323&lt;45000,"Under 45K",N323&lt;75000,"45K - 75K",N323&lt;100000,"75K - 100K",N323&gt;=100000,"Over 100K")</f>
        <v>Over 100K</v>
      </c>
      <c r="P323" s="2" t="s">
        <v>20</v>
      </c>
    </row>
    <row r="324" spans="1:16">
      <c r="A324" s="2" t="s">
        <v>681</v>
      </c>
      <c r="B324" s="2" t="s">
        <v>682</v>
      </c>
      <c r="C324" s="2" t="s">
        <v>647</v>
      </c>
      <c r="D324" s="2" t="s">
        <v>19</v>
      </c>
      <c r="E324" s="2">
        <v>0.1013966</v>
      </c>
      <c r="F324" s="3">
        <v>79.900000000000006</v>
      </c>
      <c r="G324" s="3">
        <v>82.2</v>
      </c>
      <c r="H324" s="3">
        <v>0</v>
      </c>
      <c r="I324" s="3">
        <v>0</v>
      </c>
      <c r="J324" s="3">
        <v>2.2999999999999998</v>
      </c>
      <c r="K324" s="3">
        <v>2.9</v>
      </c>
      <c r="L324" s="3" t="s">
        <v>30</v>
      </c>
      <c r="M324" s="3">
        <v>6.8</v>
      </c>
      <c r="N324" s="4">
        <v>46560</v>
      </c>
      <c r="O324" s="4" t="str" cm="1">
        <f t="array" ref="O324">_xlfn.IFS(N324&lt;45000,"Under 45K",N324&lt;75000,"45K - 75K",N324&lt;100000,"75K - 100K",N324&gt;=100000,"Over 100K")</f>
        <v>45K - 75K</v>
      </c>
      <c r="P324" s="2" t="s">
        <v>47</v>
      </c>
    </row>
    <row r="325" spans="1:16">
      <c r="A325" s="2" t="s">
        <v>683</v>
      </c>
      <c r="B325" s="2" t="s">
        <v>684</v>
      </c>
      <c r="C325" s="2" t="s">
        <v>647</v>
      </c>
      <c r="D325" s="2" t="s">
        <v>19</v>
      </c>
      <c r="E325" s="2">
        <v>8.5527599999999995E-2</v>
      </c>
      <c r="F325" s="3">
        <v>20</v>
      </c>
      <c r="G325" s="3">
        <v>20.6</v>
      </c>
      <c r="H325" s="3">
        <v>0</v>
      </c>
      <c r="I325" s="3">
        <v>0</v>
      </c>
      <c r="J325" s="3">
        <v>0.6</v>
      </c>
      <c r="K325" s="3">
        <v>3</v>
      </c>
      <c r="L325" s="3">
        <v>13.7</v>
      </c>
      <c r="M325" s="3">
        <v>0.9</v>
      </c>
      <c r="N325" s="4">
        <v>97020</v>
      </c>
      <c r="O325" s="4" t="str" cm="1">
        <f t="array" ref="O325">_xlfn.IFS(N325&lt;45000,"Under 45K",N325&lt;75000,"45K - 75K",N325&lt;100000,"75K - 100K",N325&gt;=100000,"Over 100K")</f>
        <v>75K - 100K</v>
      </c>
      <c r="P325" s="2" t="s">
        <v>92</v>
      </c>
    </row>
    <row r="326" spans="1:16">
      <c r="A326" s="2" t="s">
        <v>685</v>
      </c>
      <c r="B326" s="2" t="s">
        <v>686</v>
      </c>
      <c r="C326" s="2" t="s">
        <v>647</v>
      </c>
      <c r="D326" s="2" t="s">
        <v>19</v>
      </c>
      <c r="E326" s="2">
        <v>7.8733999999999998E-2</v>
      </c>
      <c r="F326" s="3">
        <v>78.8</v>
      </c>
      <c r="G326" s="3">
        <v>94.4</v>
      </c>
      <c r="H326" s="3">
        <v>0</v>
      </c>
      <c r="I326" s="3">
        <v>0.1</v>
      </c>
      <c r="J326" s="3">
        <v>15.6</v>
      </c>
      <c r="K326" s="3">
        <v>19.8</v>
      </c>
      <c r="L326" s="3">
        <v>0.7</v>
      </c>
      <c r="M326" s="3">
        <v>12.5</v>
      </c>
      <c r="N326" s="4">
        <v>44080</v>
      </c>
      <c r="O326" s="4" t="str" cm="1">
        <f t="array" ref="O326">_xlfn.IFS(N326&lt;45000,"Under 45K",N326&lt;75000,"45K - 75K",N326&lt;100000,"75K - 100K",N326&gt;=100000,"Over 100K")</f>
        <v>Under 45K</v>
      </c>
      <c r="P326" s="2" t="s">
        <v>152</v>
      </c>
    </row>
    <row r="327" spans="1:16">
      <c r="A327" s="2" t="s">
        <v>687</v>
      </c>
      <c r="B327" s="2" t="s">
        <v>688</v>
      </c>
      <c r="C327" s="2" t="s">
        <v>647</v>
      </c>
      <c r="D327" s="2" t="s">
        <v>19</v>
      </c>
      <c r="E327" s="2">
        <v>6.6576999999999997E-2</v>
      </c>
      <c r="F327" s="3">
        <v>10.1</v>
      </c>
      <c r="G327" s="3">
        <v>11.5</v>
      </c>
      <c r="H327" s="3">
        <v>0</v>
      </c>
      <c r="I327" s="3">
        <v>0</v>
      </c>
      <c r="J327" s="3">
        <v>1.3</v>
      </c>
      <c r="K327" s="3">
        <v>13.3</v>
      </c>
      <c r="L327" s="3" t="s">
        <v>30</v>
      </c>
      <c r="M327" s="3">
        <v>0.9</v>
      </c>
      <c r="N327" s="4">
        <v>78310</v>
      </c>
      <c r="O327" s="4" t="str" cm="1">
        <f t="array" ref="O327">_xlfn.IFS(N327&lt;45000,"Under 45K",N327&lt;75000,"45K - 75K",N327&lt;100000,"75K - 100K",N327&gt;=100000,"Over 100K")</f>
        <v>75K - 100K</v>
      </c>
      <c r="P327" s="2" t="s">
        <v>20</v>
      </c>
    </row>
    <row r="328" spans="1:16">
      <c r="A328" s="2" t="s">
        <v>689</v>
      </c>
      <c r="B328" s="2" t="s">
        <v>690</v>
      </c>
      <c r="C328" s="2" t="s">
        <v>647</v>
      </c>
      <c r="D328" s="2" t="s">
        <v>19</v>
      </c>
      <c r="E328" s="2">
        <v>7.0255999999999999E-3</v>
      </c>
      <c r="F328" s="3">
        <v>490.4</v>
      </c>
      <c r="G328" s="3">
        <v>521.79999999999995</v>
      </c>
      <c r="H328" s="3">
        <v>0.3</v>
      </c>
      <c r="I328" s="3">
        <v>0.3</v>
      </c>
      <c r="J328" s="3">
        <v>31.5</v>
      </c>
      <c r="K328" s="3">
        <v>6.4</v>
      </c>
      <c r="L328" s="3" t="s">
        <v>30</v>
      </c>
      <c r="M328" s="3">
        <v>49</v>
      </c>
      <c r="N328" s="4">
        <v>43460</v>
      </c>
      <c r="O328" s="4" t="str" cm="1">
        <f t="array" ref="O328">_xlfn.IFS(N328&lt;45000,"Under 45K",N328&lt;75000,"45K - 75K",N328&lt;100000,"75K - 100K",N328&gt;=100000,"Over 100K")</f>
        <v>Under 45K</v>
      </c>
      <c r="P328" s="2" t="s">
        <v>47</v>
      </c>
    </row>
    <row r="329" spans="1:16">
      <c r="A329" s="2" t="s">
        <v>691</v>
      </c>
      <c r="B329" s="2" t="s">
        <v>692</v>
      </c>
      <c r="C329" s="2" t="s">
        <v>647</v>
      </c>
      <c r="D329" s="2" t="s">
        <v>19</v>
      </c>
      <c r="E329" s="15">
        <v>0</v>
      </c>
      <c r="F329" s="3">
        <v>6.6</v>
      </c>
      <c r="G329" s="3">
        <v>6.6</v>
      </c>
      <c r="H329" s="3">
        <v>0</v>
      </c>
      <c r="I329" s="3">
        <v>0</v>
      </c>
      <c r="J329" s="3">
        <v>0</v>
      </c>
      <c r="K329" s="3">
        <v>0.3</v>
      </c>
      <c r="L329" s="3">
        <v>7.4</v>
      </c>
      <c r="M329" s="3">
        <v>0.2</v>
      </c>
      <c r="N329" s="4">
        <v>225770</v>
      </c>
      <c r="O329" s="4" t="str" cm="1">
        <f t="array" ref="O329">_xlfn.IFS(N329&lt;45000,"Under 45K",N329&lt;75000,"45K - 75K",N329&lt;100000,"75K - 100K",N329&gt;=100000,"Over 100K")</f>
        <v>Over 100K</v>
      </c>
      <c r="P329" s="2" t="s">
        <v>304</v>
      </c>
    </row>
    <row r="330" spans="1:16">
      <c r="A330" s="2" t="s">
        <v>693</v>
      </c>
      <c r="B330" s="2" t="s">
        <v>694</v>
      </c>
      <c r="C330" s="2" t="s">
        <v>647</v>
      </c>
      <c r="D330" s="2" t="s">
        <v>19</v>
      </c>
      <c r="E330" s="15">
        <v>0</v>
      </c>
      <c r="F330" s="3">
        <v>56.1</v>
      </c>
      <c r="G330" s="3">
        <v>62.5</v>
      </c>
      <c r="H330" s="3">
        <v>0</v>
      </c>
      <c r="I330" s="3">
        <v>0</v>
      </c>
      <c r="J330" s="3">
        <v>6.4</v>
      </c>
      <c r="K330" s="3">
        <v>11.5</v>
      </c>
      <c r="L330" s="3">
        <v>63.3</v>
      </c>
      <c r="M330" s="3">
        <v>4.0999999999999996</v>
      </c>
      <c r="N330" s="4">
        <v>65010</v>
      </c>
      <c r="O330" s="4" t="str" cm="1">
        <f t="array" ref="O330">_xlfn.IFS(N330&lt;45000,"Under 45K",N330&lt;75000,"45K - 75K",N330&lt;100000,"75K - 100K",N330&gt;=100000,"Over 100K")</f>
        <v>45K - 75K</v>
      </c>
      <c r="P330" s="2" t="s">
        <v>23</v>
      </c>
    </row>
    <row r="331" spans="1:16">
      <c r="A331" s="2" t="s">
        <v>695</v>
      </c>
      <c r="B331" s="2" t="s">
        <v>696</v>
      </c>
      <c r="C331" s="2" t="s">
        <v>647</v>
      </c>
      <c r="D331" s="2" t="s">
        <v>19</v>
      </c>
      <c r="E331" s="15">
        <v>0</v>
      </c>
      <c r="F331" s="3">
        <v>45.3</v>
      </c>
      <c r="G331" s="3">
        <v>46.7</v>
      </c>
      <c r="H331" s="3">
        <v>0</v>
      </c>
      <c r="I331" s="3">
        <v>0</v>
      </c>
      <c r="J331" s="3">
        <v>1.4</v>
      </c>
      <c r="K331" s="3">
        <v>3.2</v>
      </c>
      <c r="L331" s="3">
        <v>4.7</v>
      </c>
      <c r="M331" s="3">
        <v>1.3</v>
      </c>
      <c r="N331" s="4" t="s">
        <v>676</v>
      </c>
      <c r="O331" s="4" t="str" cm="1">
        <f t="array" ref="O331">_xlfn.IFS(N331&lt;45000,"Under 45K",N331&lt;75000,"45K - 75K",N331&lt;100000,"75K - 100K",N331&gt;=100000,"Over 100K")</f>
        <v>Over 100K</v>
      </c>
      <c r="P331" s="2" t="s">
        <v>304</v>
      </c>
    </row>
    <row r="332" spans="1:16">
      <c r="A332" s="2" t="s">
        <v>697</v>
      </c>
      <c r="B332" s="2" t="s">
        <v>698</v>
      </c>
      <c r="C332" s="2" t="s">
        <v>647</v>
      </c>
      <c r="D332" s="2" t="s">
        <v>19</v>
      </c>
      <c r="E332" s="15">
        <v>0</v>
      </c>
      <c r="F332" s="3">
        <v>19.399999999999999</v>
      </c>
      <c r="G332" s="3">
        <v>20.2</v>
      </c>
      <c r="H332" s="3">
        <v>0</v>
      </c>
      <c r="I332" s="3">
        <v>0</v>
      </c>
      <c r="J332" s="3">
        <v>0.8</v>
      </c>
      <c r="K332" s="3">
        <v>4.0999999999999996</v>
      </c>
      <c r="L332" s="3">
        <v>4.7</v>
      </c>
      <c r="M332" s="3">
        <v>0.6</v>
      </c>
      <c r="N332" s="4" t="s">
        <v>676</v>
      </c>
      <c r="O332" s="4" t="str" cm="1">
        <f t="array" ref="O332">_xlfn.IFS(N332&lt;45000,"Under 45K",N332&lt;75000,"45K - 75K",N332&lt;100000,"75K - 100K",N332&gt;=100000,"Over 100K")</f>
        <v>Over 100K</v>
      </c>
      <c r="P332" s="2" t="s">
        <v>304</v>
      </c>
    </row>
    <row r="333" spans="1:16">
      <c r="A333" s="2" t="s">
        <v>699</v>
      </c>
      <c r="B333" s="2" t="s">
        <v>700</v>
      </c>
      <c r="C333" s="2" t="s">
        <v>647</v>
      </c>
      <c r="D333" s="2" t="s">
        <v>19</v>
      </c>
      <c r="E333" s="15">
        <v>0</v>
      </c>
      <c r="F333" s="3">
        <v>10.9</v>
      </c>
      <c r="G333" s="3">
        <v>11.6</v>
      </c>
      <c r="H333" s="3">
        <v>0</v>
      </c>
      <c r="I333" s="3">
        <v>0</v>
      </c>
      <c r="J333" s="3">
        <v>0.7</v>
      </c>
      <c r="K333" s="3">
        <v>6.4</v>
      </c>
      <c r="L333" s="3">
        <v>4.8</v>
      </c>
      <c r="M333" s="3">
        <v>0.4</v>
      </c>
      <c r="N333" s="4" t="s">
        <v>676</v>
      </c>
      <c r="O333" s="4" t="str" cm="1">
        <f t="array" ref="O333">_xlfn.IFS(N333&lt;45000,"Under 45K",N333&lt;75000,"45K - 75K",N333&lt;100000,"75K - 100K",N333&gt;=100000,"Over 100K")</f>
        <v>Over 100K</v>
      </c>
      <c r="P333" s="2" t="s">
        <v>304</v>
      </c>
    </row>
    <row r="334" spans="1:16">
      <c r="A334" s="2" t="s">
        <v>701</v>
      </c>
      <c r="B334" s="2" t="s">
        <v>702</v>
      </c>
      <c r="C334" s="2" t="s">
        <v>647</v>
      </c>
      <c r="D334" s="2" t="s">
        <v>19</v>
      </c>
      <c r="E334" s="15">
        <v>0</v>
      </c>
      <c r="F334" s="3">
        <v>36.1</v>
      </c>
      <c r="G334" s="3">
        <v>37.1</v>
      </c>
      <c r="H334" s="3">
        <v>0</v>
      </c>
      <c r="I334" s="3">
        <v>0</v>
      </c>
      <c r="J334" s="3">
        <v>1</v>
      </c>
      <c r="K334" s="3">
        <v>2.7</v>
      </c>
      <c r="L334" s="3">
        <v>4.5999999999999996</v>
      </c>
      <c r="M334" s="3">
        <v>1</v>
      </c>
      <c r="N334" s="4" t="s">
        <v>676</v>
      </c>
      <c r="O334" s="4" t="str" cm="1">
        <f t="array" ref="O334">_xlfn.IFS(N334&lt;45000,"Under 45K",N334&lt;75000,"45K - 75K",N334&lt;100000,"75K - 100K",N334&gt;=100000,"Over 100K")</f>
        <v>Over 100K</v>
      </c>
      <c r="P334" s="2" t="s">
        <v>304</v>
      </c>
    </row>
    <row r="335" spans="1:16">
      <c r="A335" s="2" t="s">
        <v>703</v>
      </c>
      <c r="B335" s="2" t="s">
        <v>704</v>
      </c>
      <c r="C335" s="2" t="s">
        <v>647</v>
      </c>
      <c r="D335" s="2" t="s">
        <v>19</v>
      </c>
      <c r="E335" s="15">
        <v>0</v>
      </c>
      <c r="F335" s="3">
        <v>116</v>
      </c>
      <c r="G335" s="3">
        <v>119.1</v>
      </c>
      <c r="H335" s="3">
        <v>0.1</v>
      </c>
      <c r="I335" s="3">
        <v>0.1</v>
      </c>
      <c r="J335" s="3">
        <v>3.1</v>
      </c>
      <c r="K335" s="3">
        <v>2.7</v>
      </c>
      <c r="L335" s="3">
        <v>4.5</v>
      </c>
      <c r="M335" s="3">
        <v>3.3</v>
      </c>
      <c r="N335" s="4">
        <v>238380</v>
      </c>
      <c r="O335" s="4" t="str" cm="1">
        <f t="array" ref="O335">_xlfn.IFS(N335&lt;45000,"Under 45K",N335&lt;75000,"45K - 75K",N335&lt;100000,"75K - 100K",N335&gt;=100000,"Over 100K")</f>
        <v>Over 100K</v>
      </c>
      <c r="P335" s="2" t="s">
        <v>304</v>
      </c>
    </row>
    <row r="336" spans="1:16">
      <c r="A336" s="2" t="s">
        <v>705</v>
      </c>
      <c r="B336" s="2" t="s">
        <v>706</v>
      </c>
      <c r="C336" s="2" t="s">
        <v>647</v>
      </c>
      <c r="D336" s="2" t="s">
        <v>19</v>
      </c>
      <c r="E336" s="15">
        <v>0</v>
      </c>
      <c r="F336" s="3">
        <v>73.2</v>
      </c>
      <c r="G336" s="3">
        <v>75.599999999999994</v>
      </c>
      <c r="H336" s="3">
        <v>0</v>
      </c>
      <c r="I336" s="3">
        <v>0</v>
      </c>
      <c r="J336" s="3">
        <v>2.4</v>
      </c>
      <c r="K336" s="3">
        <v>3.3</v>
      </c>
      <c r="L336" s="3">
        <v>4.3</v>
      </c>
      <c r="M336" s="3">
        <v>2.1</v>
      </c>
      <c r="N336" s="4">
        <v>236350</v>
      </c>
      <c r="O336" s="4" t="str" cm="1">
        <f t="array" ref="O336">_xlfn.IFS(N336&lt;45000,"Under 45K",N336&lt;75000,"45K - 75K",N336&lt;100000,"75K - 100K",N336&gt;=100000,"Over 100K")</f>
        <v>Over 100K</v>
      </c>
      <c r="P336" s="2" t="s">
        <v>304</v>
      </c>
    </row>
    <row r="337" spans="1:16">
      <c r="A337" s="2" t="s">
        <v>707</v>
      </c>
      <c r="B337" s="2" t="s">
        <v>708</v>
      </c>
      <c r="C337" s="2" t="s">
        <v>647</v>
      </c>
      <c r="D337" s="2" t="s">
        <v>19</v>
      </c>
      <c r="E337" s="15">
        <v>0</v>
      </c>
      <c r="F337" s="3">
        <v>8.3000000000000007</v>
      </c>
      <c r="G337" s="3">
        <v>8.8000000000000007</v>
      </c>
      <c r="H337" s="3">
        <v>0</v>
      </c>
      <c r="I337" s="3">
        <v>0</v>
      </c>
      <c r="J337" s="3">
        <v>0.5</v>
      </c>
      <c r="K337" s="3">
        <v>5.4</v>
      </c>
      <c r="L337" s="3">
        <v>4.5999999999999996</v>
      </c>
      <c r="M337" s="3">
        <v>0.3</v>
      </c>
      <c r="N337" s="4" t="s">
        <v>676</v>
      </c>
      <c r="O337" s="4" t="str" cm="1">
        <f t="array" ref="O337">_xlfn.IFS(N337&lt;45000,"Under 45K",N337&lt;75000,"45K - 75K",N337&lt;100000,"75K - 100K",N337&gt;=100000,"Over 100K")</f>
        <v>Over 100K</v>
      </c>
      <c r="P337" s="2" t="s">
        <v>304</v>
      </c>
    </row>
    <row r="338" spans="1:16">
      <c r="A338" s="2" t="s">
        <v>709</v>
      </c>
      <c r="B338" s="2" t="s">
        <v>710</v>
      </c>
      <c r="C338" s="2" t="s">
        <v>647</v>
      </c>
      <c r="D338" s="2" t="s">
        <v>19</v>
      </c>
      <c r="E338" s="15">
        <v>0</v>
      </c>
      <c r="F338" s="3">
        <v>21.5</v>
      </c>
      <c r="G338" s="3">
        <v>21.7</v>
      </c>
      <c r="H338" s="3">
        <v>0</v>
      </c>
      <c r="I338" s="3">
        <v>0</v>
      </c>
      <c r="J338" s="3">
        <v>0.3</v>
      </c>
      <c r="K338" s="3">
        <v>1.2</v>
      </c>
      <c r="L338" s="3">
        <v>4.7</v>
      </c>
      <c r="M338" s="3">
        <v>0.6</v>
      </c>
      <c r="N338" s="4" t="s">
        <v>676</v>
      </c>
      <c r="O338" s="4" t="str" cm="1">
        <f t="array" ref="O338">_xlfn.IFS(N338&lt;45000,"Under 45K",N338&lt;75000,"45K - 75K",N338&lt;100000,"75K - 100K",N338&gt;=100000,"Over 100K")</f>
        <v>Over 100K</v>
      </c>
      <c r="P338" s="2" t="s">
        <v>304</v>
      </c>
    </row>
    <row r="339" spans="1:16">
      <c r="A339" s="2" t="s">
        <v>711</v>
      </c>
      <c r="B339" s="2" t="s">
        <v>712</v>
      </c>
      <c r="C339" s="2" t="s">
        <v>647</v>
      </c>
      <c r="D339" s="2" t="s">
        <v>19</v>
      </c>
      <c r="E339" s="15">
        <v>0</v>
      </c>
      <c r="F339" s="3">
        <v>46.4</v>
      </c>
      <c r="G339" s="3">
        <v>46.8</v>
      </c>
      <c r="H339" s="3">
        <v>0</v>
      </c>
      <c r="I339" s="3">
        <v>0</v>
      </c>
      <c r="J339" s="3">
        <v>0.4</v>
      </c>
      <c r="K339" s="3">
        <v>0.8</v>
      </c>
      <c r="L339" s="3">
        <v>4.5999999999999996</v>
      </c>
      <c r="M339" s="3">
        <v>1.2</v>
      </c>
      <c r="N339" s="4">
        <v>210130</v>
      </c>
      <c r="O339" s="4" t="str" cm="1">
        <f t="array" ref="O339">_xlfn.IFS(N339&lt;45000,"Under 45K",N339&lt;75000,"45K - 75K",N339&lt;100000,"75K - 100K",N339&gt;=100000,"Over 100K")</f>
        <v>Over 100K</v>
      </c>
      <c r="P339" s="2" t="s">
        <v>304</v>
      </c>
    </row>
    <row r="340" spans="1:16">
      <c r="A340" s="2" t="s">
        <v>713</v>
      </c>
      <c r="B340" s="2" t="s">
        <v>714</v>
      </c>
      <c r="C340" s="2" t="s">
        <v>647</v>
      </c>
      <c r="D340" s="2" t="s">
        <v>19</v>
      </c>
      <c r="E340" s="15">
        <v>0</v>
      </c>
      <c r="F340" s="3">
        <v>12.6</v>
      </c>
      <c r="G340" s="3">
        <v>13.1</v>
      </c>
      <c r="H340" s="3">
        <v>0</v>
      </c>
      <c r="I340" s="3">
        <v>0</v>
      </c>
      <c r="J340" s="3">
        <v>0.5</v>
      </c>
      <c r="K340" s="3">
        <v>4.2</v>
      </c>
      <c r="L340" s="3">
        <v>4.5</v>
      </c>
      <c r="M340" s="3">
        <v>0.4</v>
      </c>
      <c r="N340" s="4" t="s">
        <v>676</v>
      </c>
      <c r="O340" s="4" t="str" cm="1">
        <f t="array" ref="O340">_xlfn.IFS(N340&lt;45000,"Under 45K",N340&lt;75000,"45K - 75K",N340&lt;100000,"75K - 100K",N340&gt;=100000,"Over 100K")</f>
        <v>Over 100K</v>
      </c>
      <c r="P340" s="2" t="s">
        <v>304</v>
      </c>
    </row>
    <row r="341" spans="1:16">
      <c r="A341" s="2" t="s">
        <v>715</v>
      </c>
      <c r="B341" s="2" t="s">
        <v>716</v>
      </c>
      <c r="C341" s="2" t="s">
        <v>647</v>
      </c>
      <c r="D341" s="2" t="s">
        <v>19</v>
      </c>
      <c r="E341" s="15">
        <v>0</v>
      </c>
      <c r="F341" s="3">
        <v>27.1</v>
      </c>
      <c r="G341" s="3">
        <v>28.8</v>
      </c>
      <c r="H341" s="3">
        <v>0</v>
      </c>
      <c r="I341" s="3">
        <v>0</v>
      </c>
      <c r="J341" s="3">
        <v>1.7</v>
      </c>
      <c r="K341" s="3">
        <v>6.1</v>
      </c>
      <c r="L341" s="3">
        <v>3.7</v>
      </c>
      <c r="M341" s="3">
        <v>0.9</v>
      </c>
      <c r="N341" s="4" t="s">
        <v>676</v>
      </c>
      <c r="O341" s="4" t="str" cm="1">
        <f t="array" ref="O341">_xlfn.IFS(N341&lt;45000,"Under 45K",N341&lt;75000,"45K - 75K",N341&lt;100000,"75K - 100K",N341&gt;=100000,"Over 100K")</f>
        <v>Over 100K</v>
      </c>
      <c r="P341" s="2" t="s">
        <v>304</v>
      </c>
    </row>
    <row r="342" spans="1:16">
      <c r="A342" s="2" t="s">
        <v>717</v>
      </c>
      <c r="B342" s="2" t="s">
        <v>718</v>
      </c>
      <c r="C342" s="2" t="s">
        <v>647</v>
      </c>
      <c r="D342" s="2" t="s">
        <v>19</v>
      </c>
      <c r="E342" s="15">
        <v>0</v>
      </c>
      <c r="F342" s="3">
        <v>28.2</v>
      </c>
      <c r="G342" s="3">
        <v>29</v>
      </c>
      <c r="H342" s="3">
        <v>0</v>
      </c>
      <c r="I342" s="3">
        <v>0</v>
      </c>
      <c r="J342" s="3">
        <v>0.8</v>
      </c>
      <c r="K342" s="3">
        <v>2.7</v>
      </c>
      <c r="L342" s="3">
        <v>4.7</v>
      </c>
      <c r="M342" s="3">
        <v>0.8</v>
      </c>
      <c r="N342" s="4" t="s">
        <v>676</v>
      </c>
      <c r="O342" s="4" t="str" cm="1">
        <f t="array" ref="O342">_xlfn.IFS(N342&lt;45000,"Under 45K",N342&lt;75000,"45K - 75K",N342&lt;100000,"75K - 100K",N342&gt;=100000,"Over 100K")</f>
        <v>Over 100K</v>
      </c>
      <c r="P342" s="2" t="s">
        <v>304</v>
      </c>
    </row>
    <row r="343" spans="1:16">
      <c r="A343" s="2" t="s">
        <v>719</v>
      </c>
      <c r="B343" s="2" t="s">
        <v>720</v>
      </c>
      <c r="C343" s="2" t="s">
        <v>647</v>
      </c>
      <c r="D343" s="2" t="s">
        <v>19</v>
      </c>
      <c r="E343" s="15">
        <v>0</v>
      </c>
      <c r="F343" s="3">
        <v>340.7</v>
      </c>
      <c r="G343" s="3">
        <v>349.3</v>
      </c>
      <c r="H343" s="3">
        <v>0.2</v>
      </c>
      <c r="I343" s="3">
        <v>0.2</v>
      </c>
      <c r="J343" s="3">
        <v>8.6</v>
      </c>
      <c r="K343" s="3">
        <v>2.5</v>
      </c>
      <c r="L343" s="3">
        <v>3.9</v>
      </c>
      <c r="M343" s="3">
        <v>9.6</v>
      </c>
      <c r="N343" s="4" t="s">
        <v>676</v>
      </c>
      <c r="O343" s="4" t="str" cm="1">
        <f t="array" ref="O343">_xlfn.IFS(N343&lt;45000,"Under 45K",N343&lt;75000,"45K - 75K",N343&lt;100000,"75K - 100K",N343&gt;=100000,"Over 100K")</f>
        <v>Over 100K</v>
      </c>
      <c r="P343" s="2" t="s">
        <v>304</v>
      </c>
    </row>
    <row r="344" spans="1:16">
      <c r="A344" s="2" t="s">
        <v>721</v>
      </c>
      <c r="B344" s="2" t="s">
        <v>722</v>
      </c>
      <c r="C344" s="2" t="s">
        <v>647</v>
      </c>
      <c r="D344" s="2" t="s">
        <v>19</v>
      </c>
      <c r="E344" s="15">
        <v>0</v>
      </c>
      <c r="F344" s="3">
        <v>12.5</v>
      </c>
      <c r="G344" s="3">
        <v>13.1</v>
      </c>
      <c r="H344" s="3">
        <v>0</v>
      </c>
      <c r="I344" s="3">
        <v>0</v>
      </c>
      <c r="J344" s="3">
        <v>0.5</v>
      </c>
      <c r="K344" s="3">
        <v>4.3</v>
      </c>
      <c r="L344" s="3">
        <v>0.7</v>
      </c>
      <c r="M344" s="3">
        <v>0.3</v>
      </c>
      <c r="N344" s="4" t="s">
        <v>676</v>
      </c>
      <c r="O344" s="4" t="str" cm="1">
        <f t="array" ref="O344">_xlfn.IFS(N344&lt;45000,"Under 45K",N344&lt;75000,"45K - 75K",N344&lt;100000,"75K - 100K",N344&gt;=100000,"Over 100K")</f>
        <v>Over 100K</v>
      </c>
      <c r="P344" s="2" t="s">
        <v>304</v>
      </c>
    </row>
    <row r="345" spans="1:16">
      <c r="A345" s="2" t="s">
        <v>723</v>
      </c>
      <c r="B345" s="2" t="s">
        <v>724</v>
      </c>
      <c r="C345" s="2" t="s">
        <v>647</v>
      </c>
      <c r="D345" s="2" t="s">
        <v>19</v>
      </c>
      <c r="E345" s="15">
        <v>0</v>
      </c>
      <c r="F345" s="3">
        <v>14.7</v>
      </c>
      <c r="G345" s="3">
        <v>15.3</v>
      </c>
      <c r="H345" s="3">
        <v>0</v>
      </c>
      <c r="I345" s="3">
        <v>0</v>
      </c>
      <c r="J345" s="3">
        <v>0.6</v>
      </c>
      <c r="K345" s="3">
        <v>4.0999999999999996</v>
      </c>
      <c r="L345" s="3">
        <v>0.7</v>
      </c>
      <c r="M345" s="3">
        <v>0.4</v>
      </c>
      <c r="N345" s="4" t="s">
        <v>676</v>
      </c>
      <c r="O345" s="4" t="str" cm="1">
        <f t="array" ref="O345">_xlfn.IFS(N345&lt;45000,"Under 45K",N345&lt;75000,"45K - 75K",N345&lt;100000,"75K - 100K",N345&gt;=100000,"Over 100K")</f>
        <v>Over 100K</v>
      </c>
      <c r="P345" s="2" t="s">
        <v>304</v>
      </c>
    </row>
    <row r="346" spans="1:16">
      <c r="A346" s="2" t="s">
        <v>725</v>
      </c>
      <c r="B346" s="2" t="s">
        <v>726</v>
      </c>
      <c r="C346" s="2" t="s">
        <v>647</v>
      </c>
      <c r="D346" s="2" t="s">
        <v>19</v>
      </c>
      <c r="E346" s="15">
        <v>0</v>
      </c>
      <c r="F346" s="3">
        <v>1.1000000000000001</v>
      </c>
      <c r="G346" s="3">
        <v>1.1000000000000001</v>
      </c>
      <c r="H346" s="3">
        <v>0</v>
      </c>
      <c r="I346" s="3">
        <v>0</v>
      </c>
      <c r="J346" s="3">
        <v>0</v>
      </c>
      <c r="K346" s="3">
        <v>1.5</v>
      </c>
      <c r="L346" s="3" t="s">
        <v>30</v>
      </c>
      <c r="M346" s="3">
        <v>0</v>
      </c>
      <c r="N346" s="4" t="s">
        <v>676</v>
      </c>
      <c r="O346" s="4" t="str" cm="1">
        <f t="array" ref="O346">_xlfn.IFS(N346&lt;45000,"Under 45K",N346&lt;75000,"45K - 75K",N346&lt;100000,"75K - 100K",N346&gt;=100000,"Over 100K")</f>
        <v>Over 100K</v>
      </c>
      <c r="P346" s="2" t="s">
        <v>304</v>
      </c>
    </row>
    <row r="347" spans="1:16">
      <c r="A347" s="2" t="s">
        <v>727</v>
      </c>
      <c r="B347" s="2" t="s">
        <v>728</v>
      </c>
      <c r="C347" s="2" t="s">
        <v>647</v>
      </c>
      <c r="D347" s="2" t="s">
        <v>19</v>
      </c>
      <c r="E347" s="15">
        <v>0</v>
      </c>
      <c r="F347" s="3">
        <v>25.1</v>
      </c>
      <c r="G347" s="3">
        <v>26</v>
      </c>
      <c r="H347" s="3">
        <v>0</v>
      </c>
      <c r="I347" s="3">
        <v>0</v>
      </c>
      <c r="J347" s="3">
        <v>1</v>
      </c>
      <c r="K347" s="3">
        <v>3.9</v>
      </c>
      <c r="L347" s="3">
        <v>0.7</v>
      </c>
      <c r="M347" s="3">
        <v>0.6</v>
      </c>
      <c r="N347" s="4" t="s">
        <v>676</v>
      </c>
      <c r="O347" s="4" t="str" cm="1">
        <f t="array" ref="O347">_xlfn.IFS(N347&lt;45000,"Under 45K",N347&lt;75000,"45K - 75K",N347&lt;100000,"75K - 100K",N347&gt;=100000,"Over 100K")</f>
        <v>Over 100K</v>
      </c>
      <c r="P347" s="2" t="s">
        <v>304</v>
      </c>
    </row>
    <row r="348" spans="1:16">
      <c r="A348" s="2" t="s">
        <v>729</v>
      </c>
      <c r="B348" s="2" t="s">
        <v>730</v>
      </c>
      <c r="C348" s="2" t="s">
        <v>647</v>
      </c>
      <c r="D348" s="2" t="s">
        <v>19</v>
      </c>
      <c r="E348" s="2">
        <v>0</v>
      </c>
      <c r="F348" s="3">
        <v>15.3</v>
      </c>
      <c r="G348" s="3">
        <v>16.399999999999999</v>
      </c>
      <c r="H348" s="3">
        <v>0</v>
      </c>
      <c r="I348" s="3">
        <v>0</v>
      </c>
      <c r="J348" s="3">
        <v>1</v>
      </c>
      <c r="K348" s="3">
        <v>6.8</v>
      </c>
      <c r="L348" s="3">
        <v>44.1</v>
      </c>
      <c r="M348" s="3">
        <v>0.9</v>
      </c>
      <c r="N348" s="4">
        <v>78140</v>
      </c>
      <c r="O348" s="4" t="str" cm="1">
        <f t="array" ref="O348">_xlfn.IFS(N348&lt;45000,"Under 45K",N348&lt;75000,"45K - 75K",N348&lt;100000,"75K - 100K",N348&gt;=100000,"Over 100K")</f>
        <v>75K - 100K</v>
      </c>
      <c r="P348" s="2" t="s">
        <v>20</v>
      </c>
    </row>
    <row r="349" spans="1:16">
      <c r="A349" s="2" t="s">
        <v>731</v>
      </c>
      <c r="B349" s="2" t="s">
        <v>732</v>
      </c>
      <c r="C349" s="2" t="s">
        <v>647</v>
      </c>
      <c r="D349" s="2" t="s">
        <v>19</v>
      </c>
      <c r="E349" s="15">
        <v>0</v>
      </c>
      <c r="F349" s="3">
        <v>221.6</v>
      </c>
      <c r="G349" s="3">
        <v>237.2</v>
      </c>
      <c r="H349" s="3">
        <v>0.1</v>
      </c>
      <c r="I349" s="3">
        <v>0.1</v>
      </c>
      <c r="J349" s="3">
        <v>15.5</v>
      </c>
      <c r="K349" s="3">
        <v>7</v>
      </c>
      <c r="L349" s="3">
        <v>0.5</v>
      </c>
      <c r="M349" s="3">
        <v>15.3</v>
      </c>
      <c r="N349" s="4">
        <v>94260</v>
      </c>
      <c r="O349" s="4" t="str" cm="1">
        <f t="array" ref="O349">_xlfn.IFS(N349&lt;45000,"Under 45K",N349&lt;75000,"45K - 75K",N349&lt;100000,"75K - 100K",N349&gt;=100000,"Over 100K")</f>
        <v>75K - 100K</v>
      </c>
      <c r="P349" s="2" t="s">
        <v>92</v>
      </c>
    </row>
    <row r="350" spans="1:16">
      <c r="A350" s="2" t="s">
        <v>733</v>
      </c>
      <c r="B350" s="2" t="s">
        <v>734</v>
      </c>
      <c r="C350" s="2" t="s">
        <v>647</v>
      </c>
      <c r="D350" s="2" t="s">
        <v>19</v>
      </c>
      <c r="E350" s="15">
        <v>0</v>
      </c>
      <c r="F350" s="3">
        <v>41.3</v>
      </c>
      <c r="G350" s="3">
        <v>42.2</v>
      </c>
      <c r="H350" s="3">
        <v>0</v>
      </c>
      <c r="I350" s="3">
        <v>0</v>
      </c>
      <c r="J350" s="3">
        <v>0.8</v>
      </c>
      <c r="K350" s="3">
        <v>2</v>
      </c>
      <c r="L350" s="3">
        <v>20.3</v>
      </c>
      <c r="M350" s="3">
        <v>2.4</v>
      </c>
      <c r="N350" s="4">
        <v>113730</v>
      </c>
      <c r="O350" s="4" t="str" cm="1">
        <f t="array" ref="O350">_xlfn.IFS(N350&lt;45000,"Under 45K",N350&lt;75000,"45K - 75K",N350&lt;100000,"75K - 100K",N350&gt;=100000,"Over 100K")</f>
        <v>Over 100K</v>
      </c>
      <c r="P350" s="2" t="s">
        <v>20</v>
      </c>
    </row>
    <row r="351" spans="1:16">
      <c r="A351" s="2" t="s">
        <v>735</v>
      </c>
      <c r="B351" s="2" t="s">
        <v>736</v>
      </c>
      <c r="C351" s="2" t="s">
        <v>647</v>
      </c>
      <c r="D351" s="2" t="s">
        <v>19</v>
      </c>
      <c r="E351" s="15">
        <v>0</v>
      </c>
      <c r="F351" s="3">
        <v>351.2</v>
      </c>
      <c r="G351" s="3">
        <v>357.2</v>
      </c>
      <c r="H351" s="3">
        <v>0.2</v>
      </c>
      <c r="I351" s="3">
        <v>0.2</v>
      </c>
      <c r="J351" s="3">
        <v>6</v>
      </c>
      <c r="K351" s="3">
        <v>1.7</v>
      </c>
      <c r="L351" s="3">
        <v>0.5</v>
      </c>
      <c r="M351" s="3">
        <v>22.6</v>
      </c>
      <c r="N351" s="4">
        <v>61890</v>
      </c>
      <c r="O351" s="4" t="str" cm="1">
        <f t="array" ref="O351">_xlfn.IFS(N351&lt;45000,"Under 45K",N351&lt;75000,"45K - 75K",N351&lt;100000,"75K - 100K",N351&gt;=100000,"Over 100K")</f>
        <v>45K - 75K</v>
      </c>
      <c r="P351" s="2" t="s">
        <v>23</v>
      </c>
    </row>
    <row r="352" spans="1:16">
      <c r="A352" s="2" t="s">
        <v>737</v>
      </c>
      <c r="B352" s="2" t="s">
        <v>738</v>
      </c>
      <c r="C352" s="2" t="s">
        <v>647</v>
      </c>
      <c r="D352" s="2" t="s">
        <v>19</v>
      </c>
      <c r="E352" s="15">
        <v>0</v>
      </c>
      <c r="F352" s="3">
        <v>4.8</v>
      </c>
      <c r="G352" s="3">
        <v>4.9000000000000004</v>
      </c>
      <c r="H352" s="3">
        <v>0</v>
      </c>
      <c r="I352" s="3">
        <v>0</v>
      </c>
      <c r="J352" s="3">
        <v>0.2</v>
      </c>
      <c r="K352" s="3">
        <v>3.5</v>
      </c>
      <c r="L352" s="3">
        <v>13.8</v>
      </c>
      <c r="M352" s="3">
        <v>0.2</v>
      </c>
      <c r="N352" s="4">
        <v>138110</v>
      </c>
      <c r="O352" s="4" t="str" cm="1">
        <f t="array" ref="O352">_xlfn.IFS(N352&lt;45000,"Under 45K",N352&lt;75000,"45K - 75K",N352&lt;100000,"75K - 100K",N352&gt;=100000,"Over 100K")</f>
        <v>Over 100K</v>
      </c>
      <c r="P352" s="2" t="s">
        <v>23</v>
      </c>
    </row>
    <row r="353" spans="1:16">
      <c r="A353" s="2" t="s">
        <v>739</v>
      </c>
      <c r="B353" s="2" t="s">
        <v>740</v>
      </c>
      <c r="C353" s="2" t="s">
        <v>647</v>
      </c>
      <c r="D353" s="2" t="s">
        <v>19</v>
      </c>
      <c r="E353" s="15">
        <v>0</v>
      </c>
      <c r="F353" s="3">
        <v>181</v>
      </c>
      <c r="G353" s="3">
        <v>190.2</v>
      </c>
      <c r="H353" s="3">
        <v>0.1</v>
      </c>
      <c r="I353" s="3">
        <v>0.1</v>
      </c>
      <c r="J353" s="3">
        <v>9.1999999999999993</v>
      </c>
      <c r="K353" s="3">
        <v>5.0999999999999996</v>
      </c>
      <c r="L353" s="3" t="s">
        <v>30</v>
      </c>
      <c r="M353" s="3">
        <v>14.1</v>
      </c>
      <c r="N353" s="4">
        <v>41340</v>
      </c>
      <c r="O353" s="4" t="str" cm="1">
        <f t="array" ref="O353">_xlfn.IFS(N353&lt;45000,"Under 45K",N353&lt;75000,"45K - 75K",N353&lt;100000,"75K - 100K",N353&gt;=100000,"Over 100K")</f>
        <v>Under 45K</v>
      </c>
      <c r="P353" s="2" t="s">
        <v>152</v>
      </c>
    </row>
    <row r="354" spans="1:16">
      <c r="A354" s="2" t="s">
        <v>741</v>
      </c>
      <c r="B354" s="2" t="s">
        <v>742</v>
      </c>
      <c r="C354" s="2" t="s">
        <v>647</v>
      </c>
      <c r="D354" s="2" t="s">
        <v>19</v>
      </c>
      <c r="E354" s="15">
        <v>0</v>
      </c>
      <c r="F354" s="3">
        <v>101.9</v>
      </c>
      <c r="G354" s="3">
        <v>107</v>
      </c>
      <c r="H354" s="3">
        <v>0.1</v>
      </c>
      <c r="I354" s="3">
        <v>0.1</v>
      </c>
      <c r="J354" s="3">
        <v>5.0999999999999996</v>
      </c>
      <c r="K354" s="3">
        <v>5</v>
      </c>
      <c r="L354" s="3" t="s">
        <v>30</v>
      </c>
      <c r="M354" s="3">
        <v>4.9000000000000004</v>
      </c>
      <c r="N354" s="4">
        <v>58410</v>
      </c>
      <c r="O354" s="4" t="str" cm="1">
        <f t="array" ref="O354">_xlfn.IFS(N354&lt;45000,"Under 45K",N354&lt;75000,"45K - 75K",N354&lt;100000,"75K - 100K",N354&gt;=100000,"Over 100K")</f>
        <v>45K - 75K</v>
      </c>
      <c r="P354" s="2" t="s">
        <v>152</v>
      </c>
    </row>
    <row r="355" spans="1:16">
      <c r="A355" s="2" t="s">
        <v>743</v>
      </c>
      <c r="B355" s="2" t="s">
        <v>744</v>
      </c>
      <c r="C355" s="2" t="s">
        <v>647</v>
      </c>
      <c r="D355" s="2" t="s">
        <v>19</v>
      </c>
      <c r="E355" s="15">
        <v>0</v>
      </c>
      <c r="F355" s="3">
        <v>194.8</v>
      </c>
      <c r="G355" s="3">
        <v>208.6</v>
      </c>
      <c r="H355" s="3">
        <v>0.1</v>
      </c>
      <c r="I355" s="3">
        <v>0.1</v>
      </c>
      <c r="J355" s="3">
        <v>13.8</v>
      </c>
      <c r="K355" s="3">
        <v>7.1</v>
      </c>
      <c r="L355" s="3">
        <v>0.8</v>
      </c>
      <c r="M355" s="3">
        <v>14.2</v>
      </c>
      <c r="N355" s="4">
        <v>50250</v>
      </c>
      <c r="O355" s="4" t="str" cm="1">
        <f t="array" ref="O355">_xlfn.IFS(N355&lt;45000,"Under 45K",N355&lt;75000,"45K - 75K",N355&lt;100000,"75K - 100K",N355&gt;=100000,"Over 100K")</f>
        <v>45K - 75K</v>
      </c>
      <c r="P355" s="2" t="s">
        <v>152</v>
      </c>
    </row>
    <row r="356" spans="1:16">
      <c r="A356" s="2" t="s">
        <v>745</v>
      </c>
      <c r="B356" s="2" t="s">
        <v>746</v>
      </c>
      <c r="C356" s="2" t="s">
        <v>647</v>
      </c>
      <c r="D356" s="2" t="s">
        <v>19</v>
      </c>
      <c r="E356" s="15">
        <v>0</v>
      </c>
      <c r="F356" s="3">
        <v>41.9</v>
      </c>
      <c r="G356" s="3">
        <v>48.1</v>
      </c>
      <c r="H356" s="3">
        <v>0</v>
      </c>
      <c r="I356" s="3">
        <v>0</v>
      </c>
      <c r="J356" s="3">
        <v>6.2</v>
      </c>
      <c r="K356" s="3">
        <v>14.7</v>
      </c>
      <c r="L356" s="3">
        <v>7.8</v>
      </c>
      <c r="M356" s="3">
        <v>3.2</v>
      </c>
      <c r="N356" s="4">
        <v>67310</v>
      </c>
      <c r="O356" s="4" t="str" cm="1">
        <f t="array" ref="O356">_xlfn.IFS(N356&lt;45000,"Under 45K",N356&lt;75000,"45K - 75K",N356&lt;100000,"75K - 100K",N356&gt;=100000,"Over 100K")</f>
        <v>45K - 75K</v>
      </c>
      <c r="P356" s="2" t="s">
        <v>92</v>
      </c>
    </row>
    <row r="357" spans="1:16">
      <c r="A357" s="2" t="s">
        <v>747</v>
      </c>
      <c r="B357" s="2" t="s">
        <v>748</v>
      </c>
      <c r="C357" s="2" t="s">
        <v>647</v>
      </c>
      <c r="D357" s="2" t="s">
        <v>19</v>
      </c>
      <c r="E357" s="15">
        <v>0</v>
      </c>
      <c r="F357" s="3">
        <v>25.3</v>
      </c>
      <c r="G357" s="3">
        <v>26.6</v>
      </c>
      <c r="H357" s="3">
        <v>0</v>
      </c>
      <c r="I357" s="3">
        <v>0</v>
      </c>
      <c r="J357" s="3">
        <v>1.3</v>
      </c>
      <c r="K357" s="3">
        <v>5.0999999999999996</v>
      </c>
      <c r="L357" s="3">
        <v>8.6</v>
      </c>
      <c r="M357" s="3">
        <v>1.6</v>
      </c>
      <c r="N357" s="4">
        <v>60290</v>
      </c>
      <c r="O357" s="4" t="str" cm="1">
        <f t="array" ref="O357">_xlfn.IFS(N357&lt;45000,"Under 45K",N357&lt;75000,"45K - 75K",N357&lt;100000,"75K - 100K",N357&gt;=100000,"Over 100K")</f>
        <v>45K - 75K</v>
      </c>
      <c r="P357" s="2" t="s">
        <v>152</v>
      </c>
    </row>
    <row r="358" spans="1:16">
      <c r="A358" s="2" t="s">
        <v>749</v>
      </c>
      <c r="B358" s="2" t="s">
        <v>750</v>
      </c>
      <c r="C358" s="2" t="s">
        <v>647</v>
      </c>
      <c r="D358" s="2" t="s">
        <v>19</v>
      </c>
      <c r="E358" s="2">
        <v>-3.31901E-2</v>
      </c>
      <c r="F358" s="3">
        <v>23.9</v>
      </c>
      <c r="G358" s="3">
        <v>26.1</v>
      </c>
      <c r="H358" s="3">
        <v>0</v>
      </c>
      <c r="I358" s="3">
        <v>0</v>
      </c>
      <c r="J358" s="3">
        <v>2.2999999999999998</v>
      </c>
      <c r="K358" s="3">
        <v>9.5</v>
      </c>
      <c r="L358" s="3">
        <v>64</v>
      </c>
      <c r="M358" s="3">
        <v>1.7</v>
      </c>
      <c r="N358" s="4">
        <v>58160</v>
      </c>
      <c r="O358" s="4" t="str" cm="1">
        <f t="array" ref="O358">_xlfn.IFS(N358&lt;45000,"Under 45K",N358&lt;75000,"45K - 75K",N358&lt;100000,"75K - 100K",N358&gt;=100000,"Over 100K")</f>
        <v>45K - 75K</v>
      </c>
      <c r="P358" s="2" t="s">
        <v>23</v>
      </c>
    </row>
    <row r="359" spans="1:16">
      <c r="A359" s="2" t="s">
        <v>751</v>
      </c>
      <c r="B359" s="2" t="s">
        <v>752</v>
      </c>
      <c r="C359" s="2" t="s">
        <v>647</v>
      </c>
      <c r="D359" s="2" t="s">
        <v>19</v>
      </c>
      <c r="E359" s="2">
        <v>-7.27627E-2</v>
      </c>
      <c r="F359" s="3">
        <v>44.1</v>
      </c>
      <c r="G359" s="3">
        <v>47.2</v>
      </c>
      <c r="H359" s="3">
        <v>0</v>
      </c>
      <c r="I359" s="3">
        <v>0</v>
      </c>
      <c r="J359" s="3">
        <v>3.1</v>
      </c>
      <c r="K359" s="3">
        <v>7.1</v>
      </c>
      <c r="L359" s="3">
        <v>4.5999999999999996</v>
      </c>
      <c r="M359" s="3">
        <v>2.6</v>
      </c>
      <c r="N359" s="4">
        <v>88180</v>
      </c>
      <c r="O359" s="4" t="str" cm="1">
        <f t="array" ref="O359">_xlfn.IFS(N359&lt;45000,"Under 45K",N359&lt;75000,"45K - 75K",N359&lt;100000,"75K - 100K",N359&gt;=100000,"Over 100K")</f>
        <v>75K - 100K</v>
      </c>
      <c r="P359" s="2" t="s">
        <v>92</v>
      </c>
    </row>
    <row r="360" spans="1:16">
      <c r="A360" s="2" t="s">
        <v>753</v>
      </c>
      <c r="B360" s="2" t="s">
        <v>754</v>
      </c>
      <c r="C360" s="2" t="s">
        <v>647</v>
      </c>
      <c r="D360" s="2" t="s">
        <v>19</v>
      </c>
      <c r="E360" s="2">
        <v>-7.4995800000000001E-2</v>
      </c>
      <c r="F360" s="3">
        <v>86.4</v>
      </c>
      <c r="G360" s="3">
        <v>94.7</v>
      </c>
      <c r="H360" s="3">
        <v>0.1</v>
      </c>
      <c r="I360" s="3">
        <v>0.1</v>
      </c>
      <c r="J360" s="3">
        <v>8.3000000000000007</v>
      </c>
      <c r="K360" s="3">
        <v>9.6</v>
      </c>
      <c r="L360" s="3">
        <v>6.1</v>
      </c>
      <c r="M360" s="3">
        <v>3</v>
      </c>
      <c r="N360" s="4">
        <v>125510</v>
      </c>
      <c r="O360" s="4" t="str" cm="1">
        <f t="array" ref="O360">_xlfn.IFS(N360&lt;45000,"Under 45K",N360&lt;75000,"45K - 75K",N360&lt;100000,"75K - 100K",N360&gt;=100000,"Over 100K")</f>
        <v>Over 100K</v>
      </c>
      <c r="P360" s="2" t="s">
        <v>304</v>
      </c>
    </row>
    <row r="361" spans="1:16">
      <c r="A361" s="2" t="s">
        <v>755</v>
      </c>
      <c r="B361" s="2" t="s">
        <v>756</v>
      </c>
      <c r="C361" s="2" t="s">
        <v>647</v>
      </c>
      <c r="D361" s="2" t="s">
        <v>19</v>
      </c>
      <c r="E361" s="2">
        <v>-9.0952599999999995E-2</v>
      </c>
      <c r="F361" s="3">
        <v>64.7</v>
      </c>
      <c r="G361" s="3">
        <v>66.599999999999994</v>
      </c>
      <c r="H361" s="3">
        <v>0</v>
      </c>
      <c r="I361" s="3">
        <v>0</v>
      </c>
      <c r="J361" s="3">
        <v>1.9</v>
      </c>
      <c r="K361" s="3">
        <v>3</v>
      </c>
      <c r="L361" s="3">
        <v>3.7</v>
      </c>
      <c r="M361" s="3">
        <v>3.8</v>
      </c>
      <c r="N361" s="4">
        <v>67260</v>
      </c>
      <c r="O361" s="4" t="str" cm="1">
        <f t="array" ref="O361">_xlfn.IFS(N361&lt;45000,"Under 45K",N361&lt;75000,"45K - 75K",N361&lt;100000,"75K - 100K",N361&gt;=100000,"Over 100K")</f>
        <v>45K - 75K</v>
      </c>
      <c r="P361" s="2" t="s">
        <v>92</v>
      </c>
    </row>
    <row r="362" spans="1:16">
      <c r="A362" s="2" t="s">
        <v>757</v>
      </c>
      <c r="B362" s="2" t="s">
        <v>758</v>
      </c>
      <c r="C362" s="2" t="s">
        <v>647</v>
      </c>
      <c r="D362" s="2" t="s">
        <v>19</v>
      </c>
      <c r="E362" s="2">
        <v>-0.12602820000000001</v>
      </c>
      <c r="F362" s="3">
        <v>30.9</v>
      </c>
      <c r="G362" s="3">
        <v>31.7</v>
      </c>
      <c r="H362" s="3">
        <v>0</v>
      </c>
      <c r="I362" s="3">
        <v>0</v>
      </c>
      <c r="J362" s="3">
        <v>0.8</v>
      </c>
      <c r="K362" s="3">
        <v>2.5</v>
      </c>
      <c r="L362" s="3">
        <v>0.7</v>
      </c>
      <c r="M362" s="3">
        <v>4</v>
      </c>
      <c r="N362" s="4">
        <v>37040</v>
      </c>
      <c r="O362" s="4" t="str" cm="1">
        <f t="array" ref="O362">_xlfn.IFS(N362&lt;45000,"Under 45K",N362&lt;75000,"45K - 75K",N362&lt;100000,"75K - 100K",N362&gt;=100000,"Over 100K")</f>
        <v>Under 45K</v>
      </c>
      <c r="P362" s="2" t="s">
        <v>92</v>
      </c>
    </row>
    <row r="363" spans="1:16">
      <c r="A363" s="2" t="s">
        <v>759</v>
      </c>
      <c r="B363" s="2" t="s">
        <v>760</v>
      </c>
      <c r="C363" s="2" t="s">
        <v>647</v>
      </c>
      <c r="D363" s="2" t="s">
        <v>19</v>
      </c>
      <c r="E363" s="2">
        <v>-0.15614030000000001</v>
      </c>
      <c r="F363" s="3">
        <v>0.9</v>
      </c>
      <c r="G363" s="3">
        <v>0.9</v>
      </c>
      <c r="H363" s="3">
        <v>0</v>
      </c>
      <c r="I363" s="3">
        <v>0</v>
      </c>
      <c r="J363" s="3">
        <v>0</v>
      </c>
      <c r="K363" s="3">
        <v>4.5</v>
      </c>
      <c r="L363" s="3">
        <v>12</v>
      </c>
      <c r="M363" s="3">
        <v>0</v>
      </c>
      <c r="N363" s="4" t="s">
        <v>676</v>
      </c>
      <c r="O363" s="4" t="str" cm="1">
        <f t="array" ref="O363">_xlfn.IFS(N363&lt;45000,"Under 45K",N363&lt;75000,"45K - 75K",N363&lt;100000,"75K - 100K",N363&gt;=100000,"Over 100K")</f>
        <v>Over 100K</v>
      </c>
      <c r="P363" s="2" t="s">
        <v>304</v>
      </c>
    </row>
    <row r="364" spans="1:16">
      <c r="A364" s="2" t="s">
        <v>761</v>
      </c>
      <c r="B364" s="2" t="s">
        <v>762</v>
      </c>
      <c r="C364" s="2" t="s">
        <v>647</v>
      </c>
      <c r="D364" s="2" t="s">
        <v>19</v>
      </c>
      <c r="E364" s="2">
        <v>-0.18133009999999999</v>
      </c>
      <c r="F364" s="3">
        <v>129.80000000000001</v>
      </c>
      <c r="G364" s="3">
        <v>135.19999999999999</v>
      </c>
      <c r="H364" s="3">
        <v>0.1</v>
      </c>
      <c r="I364" s="3">
        <v>0.1</v>
      </c>
      <c r="J364" s="3">
        <v>5.4</v>
      </c>
      <c r="K364" s="3">
        <v>4.0999999999999996</v>
      </c>
      <c r="L364" s="3">
        <v>11.8</v>
      </c>
      <c r="M364" s="3">
        <v>3.9</v>
      </c>
      <c r="N364" s="4">
        <v>172790</v>
      </c>
      <c r="O364" s="4" t="str" cm="1">
        <f t="array" ref="O364">_xlfn.IFS(N364&lt;45000,"Under 45K",N364&lt;75000,"45K - 75K",N364&lt;100000,"75K - 100K",N364&gt;=100000,"Over 100K")</f>
        <v>Over 100K</v>
      </c>
      <c r="P364" s="2" t="s">
        <v>304</v>
      </c>
    </row>
    <row r="365" spans="1:16">
      <c r="A365" s="2" t="s">
        <v>763</v>
      </c>
      <c r="B365" s="2" t="s">
        <v>764</v>
      </c>
      <c r="C365" s="2" t="s">
        <v>647</v>
      </c>
      <c r="D365" s="2" t="s">
        <v>19</v>
      </c>
      <c r="E365" s="2">
        <v>-0.18805069999999999</v>
      </c>
      <c r="F365" s="3">
        <v>139.6</v>
      </c>
      <c r="G365" s="3">
        <v>156.4</v>
      </c>
      <c r="H365" s="3">
        <v>0.1</v>
      </c>
      <c r="I365" s="3">
        <v>0.1</v>
      </c>
      <c r="J365" s="3">
        <v>16.8</v>
      </c>
      <c r="K365" s="3">
        <v>12.1</v>
      </c>
      <c r="L365" s="3" t="s">
        <v>30</v>
      </c>
      <c r="M365" s="3">
        <v>8.8000000000000007</v>
      </c>
      <c r="N365" s="4">
        <v>80450</v>
      </c>
      <c r="O365" s="4" t="str" cm="1">
        <f t="array" ref="O365">_xlfn.IFS(N365&lt;45000,"Under 45K",N365&lt;75000,"45K - 75K",N365&lt;100000,"75K - 100K",N365&gt;=100000,"Over 100K")</f>
        <v>75K - 100K</v>
      </c>
      <c r="P365" s="2" t="s">
        <v>92</v>
      </c>
    </row>
    <row r="366" spans="1:16">
      <c r="A366" s="2" t="s">
        <v>765</v>
      </c>
      <c r="B366" s="2" t="s">
        <v>766</v>
      </c>
      <c r="C366" s="2" t="s">
        <v>647</v>
      </c>
      <c r="D366" s="2" t="s">
        <v>19</v>
      </c>
      <c r="E366" s="2">
        <v>-0.1911757</v>
      </c>
      <c r="F366" s="3">
        <v>57.2</v>
      </c>
      <c r="G366" s="3">
        <v>62.6</v>
      </c>
      <c r="H366" s="3">
        <v>0</v>
      </c>
      <c r="I366" s="3">
        <v>0</v>
      </c>
      <c r="J366" s="3">
        <v>5.4</v>
      </c>
      <c r="K366" s="3">
        <v>9.5</v>
      </c>
      <c r="L366" s="3">
        <v>34.700000000000003</v>
      </c>
      <c r="M366" s="3">
        <v>2.8</v>
      </c>
      <c r="N366" s="4">
        <v>79000</v>
      </c>
      <c r="O366" s="4" t="str" cm="1">
        <f t="array" ref="O366">_xlfn.IFS(N366&lt;45000,"Under 45K",N366&lt;75000,"45K - 75K",N366&lt;100000,"75K - 100K",N366&gt;=100000,"Over 100K")</f>
        <v>75K - 100K</v>
      </c>
      <c r="P366" s="2" t="s">
        <v>304</v>
      </c>
    </row>
    <row r="367" spans="1:16">
      <c r="A367" s="2" t="s">
        <v>767</v>
      </c>
      <c r="B367" s="2" t="s">
        <v>768</v>
      </c>
      <c r="C367" s="2" t="s">
        <v>647</v>
      </c>
      <c r="D367" s="2" t="s">
        <v>19</v>
      </c>
      <c r="E367" s="2">
        <v>-0.2189393</v>
      </c>
      <c r="F367" s="3">
        <v>19.2</v>
      </c>
      <c r="G367" s="3">
        <v>19.600000000000001</v>
      </c>
      <c r="H367" s="3">
        <v>0</v>
      </c>
      <c r="I367" s="3">
        <v>0</v>
      </c>
      <c r="J367" s="3">
        <v>0.4</v>
      </c>
      <c r="K367" s="3">
        <v>1.9</v>
      </c>
      <c r="L367" s="3" t="s">
        <v>30</v>
      </c>
      <c r="M367" s="3">
        <v>0.9</v>
      </c>
      <c r="N367" s="4">
        <v>101990</v>
      </c>
      <c r="O367" s="4" t="str" cm="1">
        <f t="array" ref="O367">_xlfn.IFS(N367&lt;45000,"Under 45K",N367&lt;75000,"45K - 75K",N367&lt;100000,"75K - 100K",N367&gt;=100000,"Over 100K")</f>
        <v>Over 100K</v>
      </c>
      <c r="P367" s="2" t="s">
        <v>92</v>
      </c>
    </row>
    <row r="368" spans="1:16">
      <c r="A368" s="2" t="s">
        <v>769</v>
      </c>
      <c r="B368" s="2" t="s">
        <v>770</v>
      </c>
      <c r="C368" s="2" t="s">
        <v>647</v>
      </c>
      <c r="D368" s="2" t="s">
        <v>19</v>
      </c>
      <c r="E368" s="2">
        <v>-0.2203484</v>
      </c>
      <c r="F368" s="3">
        <v>144.5</v>
      </c>
      <c r="G368" s="3">
        <v>173.3</v>
      </c>
      <c r="H368" s="3">
        <v>0.1</v>
      </c>
      <c r="I368" s="3">
        <v>0.1</v>
      </c>
      <c r="J368" s="3">
        <v>28.9</v>
      </c>
      <c r="K368" s="3">
        <v>20</v>
      </c>
      <c r="L368" s="3" t="s">
        <v>30</v>
      </c>
      <c r="M368" s="3">
        <v>15.9</v>
      </c>
      <c r="N368" s="4">
        <v>42590</v>
      </c>
      <c r="O368" s="4" t="str" cm="1">
        <f t="array" ref="O368">_xlfn.IFS(N368&lt;45000,"Under 45K",N368&lt;75000,"45K - 75K",N368&lt;100000,"75K - 100K",N368&gt;=100000,"Over 100K")</f>
        <v>Under 45K</v>
      </c>
      <c r="P368" s="2" t="s">
        <v>152</v>
      </c>
    </row>
    <row r="369" spans="1:16">
      <c r="A369" s="2" t="s">
        <v>771</v>
      </c>
      <c r="B369" s="2" t="s">
        <v>772</v>
      </c>
      <c r="C369" s="2" t="s">
        <v>647</v>
      </c>
      <c r="D369" s="2" t="s">
        <v>19</v>
      </c>
      <c r="E369" s="2">
        <v>-0.23896680000000001</v>
      </c>
      <c r="F369" s="3">
        <v>6.1</v>
      </c>
      <c r="G369" s="3">
        <v>6.4</v>
      </c>
      <c r="H369" s="3">
        <v>0</v>
      </c>
      <c r="I369" s="3">
        <v>0</v>
      </c>
      <c r="J369" s="3">
        <v>0.3</v>
      </c>
      <c r="K369" s="3">
        <v>4.0999999999999996</v>
      </c>
      <c r="L369" s="3">
        <v>11.9</v>
      </c>
      <c r="M369" s="3">
        <v>0.2</v>
      </c>
      <c r="N369" s="4" t="s">
        <v>676</v>
      </c>
      <c r="O369" s="4" t="str" cm="1">
        <f t="array" ref="O369">_xlfn.IFS(N369&lt;45000,"Under 45K",N369&lt;75000,"45K - 75K",N369&lt;100000,"75K - 100K",N369&gt;=100000,"Over 100K")</f>
        <v>Over 100K</v>
      </c>
      <c r="P369" s="2" t="s">
        <v>304</v>
      </c>
    </row>
    <row r="370" spans="1:16">
      <c r="A370" s="2" t="s">
        <v>773</v>
      </c>
      <c r="B370" s="2" t="s">
        <v>774</v>
      </c>
      <c r="C370" s="2" t="s">
        <v>647</v>
      </c>
      <c r="D370" s="2" t="s">
        <v>19</v>
      </c>
      <c r="E370" s="2">
        <v>-0.26405400000000001</v>
      </c>
      <c r="F370" s="3">
        <v>90</v>
      </c>
      <c r="G370" s="3">
        <v>101.7</v>
      </c>
      <c r="H370" s="3">
        <v>0.1</v>
      </c>
      <c r="I370" s="3">
        <v>0.1</v>
      </c>
      <c r="J370" s="3">
        <v>11.7</v>
      </c>
      <c r="K370" s="3">
        <v>13</v>
      </c>
      <c r="L370" s="3">
        <v>2.5</v>
      </c>
      <c r="M370" s="3">
        <v>5.8</v>
      </c>
      <c r="N370" s="4">
        <v>89340</v>
      </c>
      <c r="O370" s="4" t="str" cm="1">
        <f t="array" ref="O370">_xlfn.IFS(N370&lt;45000,"Under 45K",N370&lt;75000,"45K - 75K",N370&lt;100000,"75K - 100K",N370&gt;=100000,"Over 100K")</f>
        <v>75K - 100K</v>
      </c>
      <c r="P370" s="2" t="s">
        <v>92</v>
      </c>
    </row>
    <row r="371" spans="1:16">
      <c r="A371" s="2" t="s">
        <v>775</v>
      </c>
      <c r="B371" s="2" t="s">
        <v>776</v>
      </c>
      <c r="C371" s="2" t="s">
        <v>647</v>
      </c>
      <c r="D371" s="2" t="s">
        <v>19</v>
      </c>
      <c r="E371" s="2">
        <v>-0.283854</v>
      </c>
      <c r="F371" s="3">
        <v>178.8</v>
      </c>
      <c r="G371" s="3">
        <v>188.1</v>
      </c>
      <c r="H371" s="3">
        <v>0.1</v>
      </c>
      <c r="I371" s="3">
        <v>0.1</v>
      </c>
      <c r="J371" s="3">
        <v>9.3000000000000007</v>
      </c>
      <c r="K371" s="3">
        <v>5.2</v>
      </c>
      <c r="L371" s="3">
        <v>0.5</v>
      </c>
      <c r="M371" s="3">
        <v>13.6</v>
      </c>
      <c r="N371" s="4">
        <v>48790</v>
      </c>
      <c r="O371" s="4" t="str" cm="1">
        <f t="array" ref="O371">_xlfn.IFS(N371&lt;45000,"Under 45K",N371&lt;75000,"45K - 75K",N371&lt;100000,"75K - 100K",N371&gt;=100000,"Over 100K")</f>
        <v>45K - 75K</v>
      </c>
      <c r="P371" s="2" t="s">
        <v>152</v>
      </c>
    </row>
    <row r="372" spans="1:16">
      <c r="A372" s="2" t="s">
        <v>777</v>
      </c>
      <c r="B372" s="2" t="s">
        <v>778</v>
      </c>
      <c r="C372" s="2" t="s">
        <v>647</v>
      </c>
      <c r="D372" s="2" t="s">
        <v>19</v>
      </c>
      <c r="E372" s="2">
        <v>-0.33113629999999999</v>
      </c>
      <c r="F372" s="3">
        <v>33.9</v>
      </c>
      <c r="G372" s="3">
        <v>37.6</v>
      </c>
      <c r="H372" s="3">
        <v>0</v>
      </c>
      <c r="I372" s="3">
        <v>0</v>
      </c>
      <c r="J372" s="3">
        <v>3.8</v>
      </c>
      <c r="K372" s="3">
        <v>11.1</v>
      </c>
      <c r="L372" s="3">
        <v>6.2</v>
      </c>
      <c r="M372" s="3">
        <v>2.4</v>
      </c>
      <c r="N372" s="4">
        <v>60250</v>
      </c>
      <c r="O372" s="4" t="str" cm="1">
        <f t="array" ref="O372">_xlfn.IFS(N372&lt;45000,"Under 45K",N372&lt;75000,"45K - 75K",N372&lt;100000,"75K - 100K",N372&gt;=100000,"Over 100K")</f>
        <v>45K - 75K</v>
      </c>
      <c r="P372" s="2" t="s">
        <v>20</v>
      </c>
    </row>
    <row r="373" spans="1:16">
      <c r="A373" s="2" t="s">
        <v>779</v>
      </c>
      <c r="B373" s="2" t="s">
        <v>780</v>
      </c>
      <c r="C373" s="2" t="s">
        <v>647</v>
      </c>
      <c r="D373" s="2" t="s">
        <v>19</v>
      </c>
      <c r="E373" s="2">
        <v>-0.35819220000000002</v>
      </c>
      <c r="F373" s="3">
        <v>267.2</v>
      </c>
      <c r="G373" s="3">
        <v>296.39999999999998</v>
      </c>
      <c r="H373" s="3">
        <v>0.2</v>
      </c>
      <c r="I373" s="3">
        <v>0.2</v>
      </c>
      <c r="J373" s="3">
        <v>29.3</v>
      </c>
      <c r="K373" s="3">
        <v>10.9</v>
      </c>
      <c r="L373" s="3">
        <v>4.5</v>
      </c>
      <c r="M373" s="3">
        <v>13.2</v>
      </c>
      <c r="N373" s="4">
        <v>101020</v>
      </c>
      <c r="O373" s="4" t="str" cm="1">
        <f t="array" ref="O373">_xlfn.IFS(N373&lt;45000,"Under 45K",N373&lt;75000,"45K - 75K",N373&lt;100000,"75K - 100K",N373&gt;=100000,"Over 100K")</f>
        <v>Over 100K</v>
      </c>
      <c r="P373" s="2" t="s">
        <v>304</v>
      </c>
    </row>
    <row r="374" spans="1:16">
      <c r="A374" s="2" t="s">
        <v>781</v>
      </c>
      <c r="B374" s="2" t="s">
        <v>782</v>
      </c>
      <c r="C374" s="2" t="s">
        <v>647</v>
      </c>
      <c r="D374" s="2" t="s">
        <v>19</v>
      </c>
      <c r="E374" s="2">
        <v>-0.36231790000000003</v>
      </c>
      <c r="F374" s="3">
        <v>134.19999999999999</v>
      </c>
      <c r="G374" s="3">
        <v>146.4</v>
      </c>
      <c r="H374" s="3">
        <v>0.1</v>
      </c>
      <c r="I374" s="3">
        <v>0.1</v>
      </c>
      <c r="J374" s="3">
        <v>12.2</v>
      </c>
      <c r="K374" s="3">
        <v>9.1</v>
      </c>
      <c r="L374" s="3">
        <v>1.2</v>
      </c>
      <c r="M374" s="3">
        <v>14.3</v>
      </c>
      <c r="N374" s="4">
        <v>45980</v>
      </c>
      <c r="O374" s="4" t="str" cm="1">
        <f t="array" ref="O374">_xlfn.IFS(N374&lt;45000,"Under 45K",N374&lt;75000,"45K - 75K",N374&lt;100000,"75K - 100K",N374&gt;=100000,"Over 100K")</f>
        <v>45K - 75K</v>
      </c>
      <c r="P374" s="2" t="s">
        <v>92</v>
      </c>
    </row>
    <row r="375" spans="1:16">
      <c r="A375" s="2" t="s">
        <v>783</v>
      </c>
      <c r="B375" s="2" t="s">
        <v>784</v>
      </c>
      <c r="C375" s="2" t="s">
        <v>647</v>
      </c>
      <c r="D375" s="2" t="s">
        <v>19</v>
      </c>
      <c r="E375" s="2">
        <v>-0.48304760000000002</v>
      </c>
      <c r="F375" s="3">
        <v>115.6</v>
      </c>
      <c r="G375" s="3">
        <v>120.8</v>
      </c>
      <c r="H375" s="3">
        <v>0.1</v>
      </c>
      <c r="I375" s="3">
        <v>0.1</v>
      </c>
      <c r="J375" s="3">
        <v>5.2</v>
      </c>
      <c r="K375" s="3">
        <v>4.5</v>
      </c>
      <c r="L375" s="3">
        <v>0.1</v>
      </c>
      <c r="M375" s="3">
        <v>7</v>
      </c>
      <c r="N375" s="4">
        <v>62830</v>
      </c>
      <c r="O375" s="4" t="str" cm="1">
        <f t="array" ref="O375">_xlfn.IFS(N375&lt;45000,"Under 45K",N375&lt;75000,"45K - 75K",N375&lt;100000,"75K - 100K",N375&gt;=100000,"Over 100K")</f>
        <v>45K - 75K</v>
      </c>
      <c r="P375" s="2" t="s">
        <v>152</v>
      </c>
    </row>
    <row r="376" spans="1:16">
      <c r="A376" s="2" t="s">
        <v>785</v>
      </c>
      <c r="B376" s="2" t="s">
        <v>786</v>
      </c>
      <c r="C376" s="2" t="s">
        <v>647</v>
      </c>
      <c r="D376" s="2" t="s">
        <v>19</v>
      </c>
      <c r="E376" s="2">
        <v>-0.51373729999999995</v>
      </c>
      <c r="F376" s="3">
        <v>651.4</v>
      </c>
      <c r="G376" s="3">
        <v>668.5</v>
      </c>
      <c r="H376" s="3">
        <v>0.4</v>
      </c>
      <c r="I376" s="3">
        <v>0.4</v>
      </c>
      <c r="J376" s="3">
        <v>17.100000000000001</v>
      </c>
      <c r="K376" s="3">
        <v>2.6</v>
      </c>
      <c r="L376" s="3">
        <v>0.3</v>
      </c>
      <c r="M376" s="3">
        <v>54.4</v>
      </c>
      <c r="N376" s="4">
        <v>62340</v>
      </c>
      <c r="O376" s="4" t="str" cm="1">
        <f t="array" ref="O376">_xlfn.IFS(N376&lt;45000,"Under 45K",N376&lt;75000,"45K - 75K",N376&lt;100000,"75K - 100K",N376&gt;=100000,"Over 100K")</f>
        <v>45K - 75K</v>
      </c>
      <c r="P376" s="2" t="s">
        <v>152</v>
      </c>
    </row>
    <row r="377" spans="1:16">
      <c r="A377" s="2" t="s">
        <v>787</v>
      </c>
      <c r="B377" s="2" t="s">
        <v>788</v>
      </c>
      <c r="C377" s="2" t="s">
        <v>647</v>
      </c>
      <c r="D377" s="2" t="s">
        <v>19</v>
      </c>
      <c r="E377" s="2">
        <v>-0.5559037</v>
      </c>
      <c r="F377" s="3">
        <v>228</v>
      </c>
      <c r="G377" s="3">
        <v>237.8</v>
      </c>
      <c r="H377" s="3">
        <v>0.1</v>
      </c>
      <c r="I377" s="3">
        <v>0.1</v>
      </c>
      <c r="J377" s="3">
        <v>9.8000000000000007</v>
      </c>
      <c r="K377" s="3">
        <v>4.3</v>
      </c>
      <c r="L377" s="3">
        <v>0.4</v>
      </c>
      <c r="M377" s="3">
        <v>12.9</v>
      </c>
      <c r="N377" s="4">
        <v>77660</v>
      </c>
      <c r="O377" s="4" t="str" cm="1">
        <f t="array" ref="O377">_xlfn.IFS(N377&lt;45000,"Under 45K",N377&lt;75000,"45K - 75K",N377&lt;100000,"75K - 100K",N377&gt;=100000,"Over 100K")</f>
        <v>75K - 100K</v>
      </c>
      <c r="P377" s="2" t="s">
        <v>92</v>
      </c>
    </row>
    <row r="378" spans="1:16">
      <c r="A378" s="2" t="s">
        <v>789</v>
      </c>
      <c r="B378" s="2" t="s">
        <v>790</v>
      </c>
      <c r="C378" s="2" t="s">
        <v>791</v>
      </c>
      <c r="D378" s="2" t="s">
        <v>19</v>
      </c>
      <c r="E378" s="2">
        <v>1.0625899999999999</v>
      </c>
      <c r="F378" s="3">
        <v>43.9</v>
      </c>
      <c r="G378" s="3">
        <v>41.8</v>
      </c>
      <c r="H378" s="3">
        <v>0</v>
      </c>
      <c r="I378" s="3">
        <v>0</v>
      </c>
      <c r="J378" s="3">
        <v>-2.2000000000000002</v>
      </c>
      <c r="K378" s="3">
        <v>-4.9000000000000004</v>
      </c>
      <c r="L378" s="3">
        <v>0.8</v>
      </c>
      <c r="M378" s="3">
        <v>7.4</v>
      </c>
      <c r="N378" s="4">
        <v>37550</v>
      </c>
      <c r="O378" s="4" t="str" cm="1">
        <f t="array" ref="O378">_xlfn.IFS(N378&lt;45000,"Under 45K",N378&lt;75000,"45K - 75K",N378&lt;100000,"75K - 100K",N378&gt;=100000,"Over 100K")</f>
        <v>Under 45K</v>
      </c>
      <c r="P378" s="2" t="s">
        <v>152</v>
      </c>
    </row>
    <row r="379" spans="1:16">
      <c r="A379" s="2" t="s">
        <v>792</v>
      </c>
      <c r="B379" s="2" t="s">
        <v>793</v>
      </c>
      <c r="C379" s="2" t="s">
        <v>791</v>
      </c>
      <c r="D379" s="2" t="s">
        <v>19</v>
      </c>
      <c r="E379" s="2">
        <v>0.16600770000000001</v>
      </c>
      <c r="F379" s="3">
        <v>109.7</v>
      </c>
      <c r="G379" s="3">
        <v>113.5</v>
      </c>
      <c r="H379" s="3">
        <v>0.1</v>
      </c>
      <c r="I379" s="3">
        <v>0.1</v>
      </c>
      <c r="J379" s="3">
        <v>3.8</v>
      </c>
      <c r="K379" s="3">
        <v>3.5</v>
      </c>
      <c r="L379" s="3">
        <v>2.5</v>
      </c>
      <c r="M379" s="3">
        <v>14.4</v>
      </c>
      <c r="N379" s="4">
        <v>46050</v>
      </c>
      <c r="O379" s="4" t="str" cm="1">
        <f t="array" ref="O379">_xlfn.IFS(N379&lt;45000,"Under 45K",N379&lt;75000,"45K - 75K",N379&lt;100000,"75K - 100K",N379&gt;=100000,"Over 100K")</f>
        <v>45K - 75K</v>
      </c>
      <c r="P379" s="2" t="s">
        <v>47</v>
      </c>
    </row>
    <row r="380" spans="1:16">
      <c r="A380" s="2" t="s">
        <v>794</v>
      </c>
      <c r="B380" s="2" t="s">
        <v>795</v>
      </c>
      <c r="C380" s="2" t="s">
        <v>791</v>
      </c>
      <c r="D380" s="2" t="s">
        <v>19</v>
      </c>
      <c r="E380" s="2">
        <v>0.1497917</v>
      </c>
      <c r="F380" s="3">
        <v>811</v>
      </c>
      <c r="G380" s="3">
        <v>912.2</v>
      </c>
      <c r="H380" s="3">
        <v>0.5</v>
      </c>
      <c r="I380" s="3">
        <v>0.5</v>
      </c>
      <c r="J380" s="3">
        <v>101.2</v>
      </c>
      <c r="K380" s="3">
        <v>12.5</v>
      </c>
      <c r="L380" s="3" t="s">
        <v>30</v>
      </c>
      <c r="M380" s="3">
        <v>112.3</v>
      </c>
      <c r="N380" s="4">
        <v>44200</v>
      </c>
      <c r="O380" s="4" t="str" cm="1">
        <f t="array" ref="O380">_xlfn.IFS(N380&lt;45000,"Under 45K",N380&lt;75000,"45K - 75K",N380&lt;100000,"75K - 100K",N380&gt;=100000,"Over 100K")</f>
        <v>Under 45K</v>
      </c>
      <c r="P380" s="2" t="s">
        <v>152</v>
      </c>
    </row>
    <row r="381" spans="1:16">
      <c r="A381" s="2" t="s">
        <v>796</v>
      </c>
      <c r="B381" s="2" t="s">
        <v>797</v>
      </c>
      <c r="C381" s="2" t="s">
        <v>791</v>
      </c>
      <c r="D381" s="2" t="s">
        <v>19</v>
      </c>
      <c r="E381" s="15">
        <v>0</v>
      </c>
      <c r="F381" s="3">
        <v>4347.7</v>
      </c>
      <c r="G381" s="3">
        <v>5087.5</v>
      </c>
      <c r="H381" s="3">
        <v>2.6</v>
      </c>
      <c r="I381" s="3">
        <v>2.9</v>
      </c>
      <c r="J381" s="3">
        <v>739.8</v>
      </c>
      <c r="K381" s="3">
        <v>17</v>
      </c>
      <c r="L381" s="3">
        <v>2.8</v>
      </c>
      <c r="M381" s="3">
        <v>765.8</v>
      </c>
      <c r="N381" s="4">
        <v>34900</v>
      </c>
      <c r="O381" s="4" t="str" cm="1">
        <f t="array" ref="O381">_xlfn.IFS(N381&lt;45000,"Under 45K",N381&lt;75000,"45K - 75K",N381&lt;100000,"75K - 100K",N381&gt;=100000,"Over 100K")</f>
        <v>Under 45K</v>
      </c>
      <c r="P381" s="2" t="s">
        <v>47</v>
      </c>
    </row>
    <row r="382" spans="1:16">
      <c r="A382" s="2" t="s">
        <v>798</v>
      </c>
      <c r="B382" s="2" t="s">
        <v>799</v>
      </c>
      <c r="C382" s="2" t="s">
        <v>791</v>
      </c>
      <c r="D382" s="2" t="s">
        <v>19</v>
      </c>
      <c r="E382" s="15">
        <v>0</v>
      </c>
      <c r="F382" s="3">
        <v>1441.5</v>
      </c>
      <c r="G382" s="3">
        <v>1474</v>
      </c>
      <c r="H382" s="3">
        <v>0.8</v>
      </c>
      <c r="I382" s="3">
        <v>0.8</v>
      </c>
      <c r="J382" s="3">
        <v>32.6</v>
      </c>
      <c r="K382" s="3">
        <v>2.2999999999999998</v>
      </c>
      <c r="L382" s="3">
        <v>1.3</v>
      </c>
      <c r="M382" s="3">
        <v>204.1</v>
      </c>
      <c r="N382" s="4">
        <v>39530</v>
      </c>
      <c r="O382" s="4" t="str" cm="1">
        <f t="array" ref="O382">_xlfn.IFS(N382&lt;45000,"Under 45K",N382&lt;75000,"45K - 75K",N382&lt;100000,"75K - 100K",N382&gt;=100000,"Over 100K")</f>
        <v>Under 45K</v>
      </c>
      <c r="P382" s="2" t="s">
        <v>152</v>
      </c>
    </row>
    <row r="383" spans="1:16">
      <c r="A383" s="2" t="s">
        <v>800</v>
      </c>
      <c r="B383" s="2" t="s">
        <v>801</v>
      </c>
      <c r="C383" s="2" t="s">
        <v>791</v>
      </c>
      <c r="D383" s="2" t="s">
        <v>19</v>
      </c>
      <c r="E383" s="15">
        <v>0</v>
      </c>
      <c r="F383" s="3">
        <v>54</v>
      </c>
      <c r="G383" s="3">
        <v>55.8</v>
      </c>
      <c r="H383" s="3">
        <v>0</v>
      </c>
      <c r="I383" s="3">
        <v>0</v>
      </c>
      <c r="J383" s="3">
        <v>1.8</v>
      </c>
      <c r="K383" s="3">
        <v>3.3</v>
      </c>
      <c r="L383" s="3" t="s">
        <v>30</v>
      </c>
      <c r="M383" s="3">
        <v>7.8</v>
      </c>
      <c r="N383" s="4">
        <v>37700</v>
      </c>
      <c r="O383" s="4" t="str" cm="1">
        <f t="array" ref="O383">_xlfn.IFS(N383&lt;45000,"Under 45K",N383&lt;75000,"45K - 75K",N383&lt;100000,"75K - 100K",N383&gt;=100000,"Over 100K")</f>
        <v>Under 45K</v>
      </c>
      <c r="P383" s="2" t="s">
        <v>47</v>
      </c>
    </row>
    <row r="384" spans="1:16">
      <c r="A384" s="2" t="s">
        <v>802</v>
      </c>
      <c r="B384" s="2" t="s">
        <v>803</v>
      </c>
      <c r="C384" s="2" t="s">
        <v>791</v>
      </c>
      <c r="D384" s="2" t="s">
        <v>19</v>
      </c>
      <c r="E384" s="15">
        <v>0</v>
      </c>
      <c r="F384" s="3">
        <v>38.5</v>
      </c>
      <c r="G384" s="3">
        <v>38.299999999999997</v>
      </c>
      <c r="H384" s="3">
        <v>0</v>
      </c>
      <c r="I384" s="3">
        <v>0</v>
      </c>
      <c r="J384" s="3">
        <v>-0.1</v>
      </c>
      <c r="K384" s="3">
        <v>-0.4</v>
      </c>
      <c r="L384" s="3">
        <v>1.8</v>
      </c>
      <c r="M384" s="3">
        <v>5.3</v>
      </c>
      <c r="N384" s="4">
        <v>41590</v>
      </c>
      <c r="O384" s="4" t="str" cm="1">
        <f t="array" ref="O384">_xlfn.IFS(N384&lt;45000,"Under 45K",N384&lt;75000,"45K - 75K",N384&lt;100000,"75K - 100K",N384&gt;=100000,"Over 100K")</f>
        <v>Under 45K</v>
      </c>
      <c r="P384" s="2" t="s">
        <v>47</v>
      </c>
    </row>
    <row r="385" spans="1:16">
      <c r="A385" s="2" t="s">
        <v>804</v>
      </c>
      <c r="B385" s="2" t="s">
        <v>805</v>
      </c>
      <c r="C385" s="2" t="s">
        <v>791</v>
      </c>
      <c r="D385" s="2" t="s">
        <v>19</v>
      </c>
      <c r="E385" s="2">
        <v>-0.1552654</v>
      </c>
      <c r="F385" s="3">
        <v>41.1</v>
      </c>
      <c r="G385" s="3">
        <v>41.1</v>
      </c>
      <c r="H385" s="3">
        <v>0</v>
      </c>
      <c r="I385" s="3">
        <v>0</v>
      </c>
      <c r="J385" s="3">
        <v>-0.1</v>
      </c>
      <c r="K385" s="3">
        <v>-0.1</v>
      </c>
      <c r="L385" s="3" t="s">
        <v>30</v>
      </c>
      <c r="M385" s="3">
        <v>6.1</v>
      </c>
      <c r="N385" s="4">
        <v>37000</v>
      </c>
      <c r="O385" s="4" t="str" cm="1">
        <f t="array" ref="O385">_xlfn.IFS(N385&lt;45000,"Under 45K",N385&lt;75000,"45K - 75K",N385&lt;100000,"75K - 100K",N385&gt;=100000,"Over 100K")</f>
        <v>Under 45K</v>
      </c>
      <c r="P385" s="2" t="s">
        <v>47</v>
      </c>
    </row>
    <row r="386" spans="1:16">
      <c r="A386" s="2" t="s">
        <v>806</v>
      </c>
      <c r="B386" s="2" t="s">
        <v>807</v>
      </c>
      <c r="C386" s="2" t="s">
        <v>791</v>
      </c>
      <c r="D386" s="2" t="s">
        <v>19</v>
      </c>
      <c r="E386" s="2">
        <v>-0.27784750000000003</v>
      </c>
      <c r="F386" s="3">
        <v>139.69999999999999</v>
      </c>
      <c r="G386" s="3">
        <v>147.5</v>
      </c>
      <c r="H386" s="3">
        <v>0.1</v>
      </c>
      <c r="I386" s="3">
        <v>0.1</v>
      </c>
      <c r="J386" s="3">
        <v>7.9</v>
      </c>
      <c r="K386" s="3">
        <v>5.6</v>
      </c>
      <c r="L386" s="3" t="s">
        <v>30</v>
      </c>
      <c r="M386" s="3">
        <v>18.399999999999999</v>
      </c>
      <c r="N386" s="4">
        <v>43660</v>
      </c>
      <c r="O386" s="4" t="str" cm="1">
        <f t="array" ref="O386">_xlfn.IFS(N386&lt;45000,"Under 45K",N386&lt;75000,"45K - 75K",N386&lt;100000,"75K - 100K",N386&gt;=100000,"Over 100K")</f>
        <v>Under 45K</v>
      </c>
      <c r="P386" s="2" t="s">
        <v>152</v>
      </c>
    </row>
    <row r="387" spans="1:16">
      <c r="A387" s="2" t="s">
        <v>808</v>
      </c>
      <c r="B387" s="2" t="s">
        <v>809</v>
      </c>
      <c r="C387" s="2" t="s">
        <v>791</v>
      </c>
      <c r="D387" s="2" t="s">
        <v>19</v>
      </c>
      <c r="E387" s="2">
        <v>-0.3153762</v>
      </c>
      <c r="F387" s="3">
        <v>49.2</v>
      </c>
      <c r="G387" s="3">
        <v>58.7</v>
      </c>
      <c r="H387" s="3">
        <v>0</v>
      </c>
      <c r="I387" s="3">
        <v>0</v>
      </c>
      <c r="J387" s="3">
        <v>9.5</v>
      </c>
      <c r="K387" s="3">
        <v>19.2</v>
      </c>
      <c r="L387" s="3" t="s">
        <v>30</v>
      </c>
      <c r="M387" s="3">
        <v>7.2</v>
      </c>
      <c r="N387" s="4">
        <v>68340</v>
      </c>
      <c r="O387" s="4" t="str" cm="1">
        <f t="array" ref="O387">_xlfn.IFS(N387&lt;45000,"Under 45K",N387&lt;75000,"45K - 75K",N387&lt;100000,"75K - 100K",N387&gt;=100000,"Over 100K")</f>
        <v>45K - 75K</v>
      </c>
      <c r="P387" s="2" t="s">
        <v>92</v>
      </c>
    </row>
    <row r="388" spans="1:16">
      <c r="A388" s="2" t="s">
        <v>810</v>
      </c>
      <c r="B388" s="2" t="s">
        <v>811</v>
      </c>
      <c r="C388" s="2" t="s">
        <v>791</v>
      </c>
      <c r="D388" s="2" t="s">
        <v>19</v>
      </c>
      <c r="E388" s="2">
        <v>-0.52687589999999995</v>
      </c>
      <c r="F388" s="3">
        <v>381.9</v>
      </c>
      <c r="G388" s="3">
        <v>406.3</v>
      </c>
      <c r="H388" s="3">
        <v>0.2</v>
      </c>
      <c r="I388" s="3">
        <v>0.2</v>
      </c>
      <c r="J388" s="3">
        <v>24.4</v>
      </c>
      <c r="K388" s="3">
        <v>6.4</v>
      </c>
      <c r="L388" s="3">
        <v>0.7</v>
      </c>
      <c r="M388" s="3">
        <v>52.9</v>
      </c>
      <c r="N388" s="4">
        <v>47300</v>
      </c>
      <c r="O388" s="4" t="str" cm="1">
        <f t="array" ref="O388">_xlfn.IFS(N388&lt;45000,"Under 45K",N388&lt;75000,"45K - 75K",N388&lt;100000,"75K - 100K",N388&gt;=100000,"Over 100K")</f>
        <v>45K - 75K</v>
      </c>
      <c r="P388" s="2" t="s">
        <v>152</v>
      </c>
    </row>
    <row r="389" spans="1:16">
      <c r="A389" s="2" t="s">
        <v>812</v>
      </c>
      <c r="B389" s="2" t="s">
        <v>813</v>
      </c>
      <c r="C389" s="2" t="s">
        <v>791</v>
      </c>
      <c r="D389" s="2" t="s">
        <v>19</v>
      </c>
      <c r="E389" s="2">
        <v>-0.53085349999999998</v>
      </c>
      <c r="F389" s="3">
        <v>111.5</v>
      </c>
      <c r="G389" s="3">
        <v>136</v>
      </c>
      <c r="H389" s="3">
        <v>0.1</v>
      </c>
      <c r="I389" s="3">
        <v>0.1</v>
      </c>
      <c r="J389" s="3">
        <v>24.5</v>
      </c>
      <c r="K389" s="3">
        <v>22</v>
      </c>
      <c r="L389" s="3">
        <v>0.7</v>
      </c>
      <c r="M389" s="3">
        <v>19.8</v>
      </c>
      <c r="N389" s="4">
        <v>65510</v>
      </c>
      <c r="O389" s="4" t="str" cm="1">
        <f t="array" ref="O389">_xlfn.IFS(N389&lt;45000,"Under 45K",N389&lt;75000,"45K - 75K",N389&lt;100000,"75K - 100K",N389&gt;=100000,"Over 100K")</f>
        <v>45K - 75K</v>
      </c>
      <c r="P389" s="2" t="s">
        <v>92</v>
      </c>
    </row>
    <row r="390" spans="1:16">
      <c r="A390" s="2" t="s">
        <v>814</v>
      </c>
      <c r="B390" s="2" t="s">
        <v>815</v>
      </c>
      <c r="C390" s="2" t="s">
        <v>791</v>
      </c>
      <c r="D390" s="2" t="s">
        <v>19</v>
      </c>
      <c r="E390" s="2">
        <v>-0.73086479999999998</v>
      </c>
      <c r="F390" s="3">
        <v>76.5</v>
      </c>
      <c r="G390" s="3">
        <v>84.2</v>
      </c>
      <c r="H390" s="3">
        <v>0</v>
      </c>
      <c r="I390" s="3">
        <v>0</v>
      </c>
      <c r="J390" s="3">
        <v>7.6</v>
      </c>
      <c r="K390" s="3">
        <v>10</v>
      </c>
      <c r="L390" s="3">
        <v>3.4</v>
      </c>
      <c r="M390" s="3">
        <v>10.9</v>
      </c>
      <c r="N390" s="4">
        <v>46490</v>
      </c>
      <c r="O390" s="4" t="str" cm="1">
        <f t="array" ref="O390">_xlfn.IFS(N390&lt;45000,"Under 45K",N390&lt;75000,"45K - 75K",N390&lt;100000,"75K - 100K",N390&gt;=100000,"Over 100K")</f>
        <v>45K - 75K</v>
      </c>
      <c r="P390" s="2" t="s">
        <v>47</v>
      </c>
    </row>
    <row r="391" spans="1:16">
      <c r="A391" s="2" t="s">
        <v>816</v>
      </c>
      <c r="B391" s="2" t="s">
        <v>817</v>
      </c>
      <c r="C391" s="2" t="s">
        <v>791</v>
      </c>
      <c r="D391" s="2" t="s">
        <v>19</v>
      </c>
      <c r="E391" s="2">
        <v>-0.77343220000000001</v>
      </c>
      <c r="F391" s="3">
        <v>5.2</v>
      </c>
      <c r="G391" s="3">
        <v>5.3</v>
      </c>
      <c r="H391" s="3">
        <v>0</v>
      </c>
      <c r="I391" s="3">
        <v>0</v>
      </c>
      <c r="J391" s="3">
        <v>0.1</v>
      </c>
      <c r="K391" s="3">
        <v>2.5</v>
      </c>
      <c r="L391" s="3" t="s">
        <v>30</v>
      </c>
      <c r="M391" s="3">
        <v>0.6</v>
      </c>
      <c r="N391" s="4">
        <v>37370</v>
      </c>
      <c r="O391" s="4" t="str" cm="1">
        <f t="array" ref="O391">_xlfn.IFS(N391&lt;45000,"Under 45K",N391&lt;75000,"45K - 75K",N391&lt;100000,"75K - 100K",N391&gt;=100000,"Over 100K")</f>
        <v>Under 45K</v>
      </c>
      <c r="P391" s="2" t="s">
        <v>47</v>
      </c>
    </row>
    <row r="392" spans="1:16">
      <c r="A392" s="2" t="s">
        <v>818</v>
      </c>
      <c r="B392" s="2" t="s">
        <v>819</v>
      </c>
      <c r="C392" s="2" t="s">
        <v>791</v>
      </c>
      <c r="D392" s="2" t="s">
        <v>19</v>
      </c>
      <c r="E392" s="2">
        <v>-0.7735824</v>
      </c>
      <c r="F392" s="3">
        <v>117.8</v>
      </c>
      <c r="G392" s="3">
        <v>128.1</v>
      </c>
      <c r="H392" s="3">
        <v>0.1</v>
      </c>
      <c r="I392" s="3">
        <v>0.1</v>
      </c>
      <c r="J392" s="3">
        <v>10.3</v>
      </c>
      <c r="K392" s="3">
        <v>8.6999999999999993</v>
      </c>
      <c r="L392" s="3">
        <v>0.2</v>
      </c>
      <c r="M392" s="3">
        <v>22.2</v>
      </c>
      <c r="N392" s="4">
        <v>37320</v>
      </c>
      <c r="O392" s="4" t="str" cm="1">
        <f t="array" ref="O392">_xlfn.IFS(N392&lt;45000,"Under 45K",N392&lt;75000,"45K - 75K",N392&lt;100000,"75K - 100K",N392&gt;=100000,"Over 100K")</f>
        <v>Under 45K</v>
      </c>
      <c r="P392" s="2" t="s">
        <v>47</v>
      </c>
    </row>
    <row r="393" spans="1:16">
      <c r="A393" s="2" t="s">
        <v>820</v>
      </c>
      <c r="B393" s="2" t="s">
        <v>821</v>
      </c>
      <c r="C393" s="2" t="s">
        <v>791</v>
      </c>
      <c r="D393" s="2" t="s">
        <v>19</v>
      </c>
      <c r="E393" s="2">
        <v>-0.88232650000000001</v>
      </c>
      <c r="F393" s="3">
        <v>45.6</v>
      </c>
      <c r="G393" s="3">
        <v>46.9</v>
      </c>
      <c r="H393" s="3">
        <v>0</v>
      </c>
      <c r="I393" s="3">
        <v>0</v>
      </c>
      <c r="J393" s="3">
        <v>1.3</v>
      </c>
      <c r="K393" s="3">
        <v>2.8</v>
      </c>
      <c r="L393" s="3">
        <v>0.7</v>
      </c>
      <c r="M393" s="3">
        <v>6.6</v>
      </c>
      <c r="N393" s="4">
        <v>34520</v>
      </c>
      <c r="O393" s="4" t="str" cm="1">
        <f t="array" ref="O393">_xlfn.IFS(N393&lt;45000,"Under 45K",N393&lt;75000,"45K - 75K",N393&lt;100000,"75K - 100K",N393&gt;=100000,"Over 100K")</f>
        <v>Under 45K</v>
      </c>
      <c r="P393" s="2" t="s">
        <v>47</v>
      </c>
    </row>
    <row r="394" spans="1:16">
      <c r="A394" s="2" t="s">
        <v>822</v>
      </c>
      <c r="B394" s="2" t="s">
        <v>823</v>
      </c>
      <c r="C394" s="2" t="s">
        <v>791</v>
      </c>
      <c r="D394" s="2" t="s">
        <v>19</v>
      </c>
      <c r="E394" s="2">
        <v>-1.4102330000000001</v>
      </c>
      <c r="F394" s="3">
        <v>168</v>
      </c>
      <c r="G394" s="3">
        <v>193.9</v>
      </c>
      <c r="H394" s="3">
        <v>0.1</v>
      </c>
      <c r="I394" s="3">
        <v>0.1</v>
      </c>
      <c r="J394" s="3">
        <v>25.9</v>
      </c>
      <c r="K394" s="3">
        <v>15.4</v>
      </c>
      <c r="L394" s="3">
        <v>41.9</v>
      </c>
      <c r="M394" s="3">
        <v>24.7</v>
      </c>
      <c r="N394" s="4">
        <v>57950</v>
      </c>
      <c r="O394" s="4" t="str" cm="1">
        <f t="array" ref="O394">_xlfn.IFS(N394&lt;45000,"Under 45K",N394&lt;75000,"45K - 75K",N394&lt;100000,"75K - 100K",N394&gt;=100000,"Over 100K")</f>
        <v>45K - 75K</v>
      </c>
      <c r="P394" s="2" t="s">
        <v>152</v>
      </c>
    </row>
    <row r="395" spans="1:16">
      <c r="A395" s="2" t="s">
        <v>824</v>
      </c>
      <c r="B395" s="2" t="s">
        <v>825</v>
      </c>
      <c r="C395" s="2" t="s">
        <v>826</v>
      </c>
      <c r="D395" s="2" t="s">
        <v>19</v>
      </c>
      <c r="E395" s="2">
        <v>0.74831080000000005</v>
      </c>
      <c r="F395" s="3">
        <v>43.6</v>
      </c>
      <c r="G395" s="3">
        <v>46.2</v>
      </c>
      <c r="H395" s="3">
        <v>0</v>
      </c>
      <c r="I395" s="3">
        <v>0</v>
      </c>
      <c r="J395" s="3">
        <v>2.6</v>
      </c>
      <c r="K395" s="3">
        <v>6</v>
      </c>
      <c r="L395" s="3">
        <v>10.8</v>
      </c>
      <c r="M395" s="3">
        <v>3.9</v>
      </c>
      <c r="N395" s="4">
        <v>52370</v>
      </c>
      <c r="O395" s="4" t="str" cm="1">
        <f t="array" ref="O395">_xlfn.IFS(N395&lt;45000,"Under 45K",N395&lt;75000,"45K - 75K",N395&lt;100000,"75K - 100K",N395&gt;=100000,"Over 100K")</f>
        <v>45K - 75K</v>
      </c>
      <c r="P395" s="2" t="s">
        <v>47</v>
      </c>
    </row>
    <row r="396" spans="1:16">
      <c r="A396" s="2" t="s">
        <v>827</v>
      </c>
      <c r="B396" s="2" t="s">
        <v>828</v>
      </c>
      <c r="C396" s="2" t="s">
        <v>826</v>
      </c>
      <c r="D396" s="2" t="s">
        <v>19</v>
      </c>
      <c r="E396" s="2">
        <v>0.72839330000000002</v>
      </c>
      <c r="F396" s="3">
        <v>10.3</v>
      </c>
      <c r="G396" s="3">
        <v>10.3</v>
      </c>
      <c r="H396" s="3">
        <v>0</v>
      </c>
      <c r="I396" s="3">
        <v>0</v>
      </c>
      <c r="J396" s="3">
        <v>0</v>
      </c>
      <c r="K396" s="3">
        <v>0.3</v>
      </c>
      <c r="L396" s="3" t="s">
        <v>30</v>
      </c>
      <c r="M396" s="3">
        <v>1.3</v>
      </c>
      <c r="N396" s="4">
        <v>43900</v>
      </c>
      <c r="O396" s="4" t="str" cm="1">
        <f t="array" ref="O396">_xlfn.IFS(N396&lt;45000,"Under 45K",N396&lt;75000,"45K - 75K",N396&lt;100000,"75K - 100K",N396&gt;=100000,"Over 100K")</f>
        <v>Under 45K</v>
      </c>
      <c r="P396" s="2" t="s">
        <v>47</v>
      </c>
    </row>
    <row r="397" spans="1:16">
      <c r="A397" s="2" t="s">
        <v>829</v>
      </c>
      <c r="B397" s="2" t="s">
        <v>830</v>
      </c>
      <c r="C397" s="2" t="s">
        <v>826</v>
      </c>
      <c r="D397" s="2" t="s">
        <v>19</v>
      </c>
      <c r="E397" s="2">
        <v>0.22576959999999999</v>
      </c>
      <c r="F397" s="3">
        <v>117.9</v>
      </c>
      <c r="G397" s="3">
        <v>117.1</v>
      </c>
      <c r="H397" s="3">
        <v>0.1</v>
      </c>
      <c r="I397" s="3">
        <v>0.1</v>
      </c>
      <c r="J397" s="3">
        <v>-0.8</v>
      </c>
      <c r="K397" s="3">
        <v>-0.7</v>
      </c>
      <c r="L397" s="3" t="s">
        <v>30</v>
      </c>
      <c r="M397" s="3">
        <v>7.8</v>
      </c>
      <c r="N397" s="4">
        <v>93580</v>
      </c>
      <c r="O397" s="4" t="str" cm="1">
        <f t="array" ref="O397">_xlfn.IFS(N397&lt;45000,"Under 45K",N397&lt;75000,"45K - 75K",N397&lt;100000,"75K - 100K",N397&gt;=100000,"Over 100K")</f>
        <v>75K - 100K</v>
      </c>
      <c r="P397" s="2" t="s">
        <v>47</v>
      </c>
    </row>
    <row r="398" spans="1:16">
      <c r="A398" s="2" t="s">
        <v>831</v>
      </c>
      <c r="B398" s="2" t="s">
        <v>832</v>
      </c>
      <c r="C398" s="2" t="s">
        <v>826</v>
      </c>
      <c r="D398" s="2" t="s">
        <v>19</v>
      </c>
      <c r="E398" s="2">
        <v>7.6408799999999999E-2</v>
      </c>
      <c r="F398" s="3">
        <v>84</v>
      </c>
      <c r="G398" s="3">
        <v>86.1</v>
      </c>
      <c r="H398" s="3">
        <v>0</v>
      </c>
      <c r="I398" s="3">
        <v>0</v>
      </c>
      <c r="J398" s="3">
        <v>2.1</v>
      </c>
      <c r="K398" s="3">
        <v>2.5</v>
      </c>
      <c r="L398" s="3" t="s">
        <v>30</v>
      </c>
      <c r="M398" s="3">
        <v>23.3</v>
      </c>
      <c r="N398" s="4">
        <v>41600</v>
      </c>
      <c r="O398" s="4" t="str" cm="1">
        <f t="array" ref="O398">_xlfn.IFS(N398&lt;45000,"Under 45K",N398&lt;75000,"45K - 75K",N398&lt;100000,"75K - 100K",N398&gt;=100000,"Over 100K")</f>
        <v>Under 45K</v>
      </c>
      <c r="P398" s="2" t="s">
        <v>47</v>
      </c>
    </row>
    <row r="399" spans="1:16">
      <c r="A399" s="2" t="s">
        <v>833</v>
      </c>
      <c r="B399" s="2" t="s">
        <v>834</v>
      </c>
      <c r="C399" s="2" t="s">
        <v>826</v>
      </c>
      <c r="D399" s="2" t="s">
        <v>19</v>
      </c>
      <c r="E399" s="2">
        <v>6.2793000000000002E-2</v>
      </c>
      <c r="F399" s="3">
        <v>14.7</v>
      </c>
      <c r="G399" s="3">
        <v>15.2</v>
      </c>
      <c r="H399" s="3">
        <v>0</v>
      </c>
      <c r="I399" s="3">
        <v>0</v>
      </c>
      <c r="J399" s="3">
        <v>0.6</v>
      </c>
      <c r="K399" s="3">
        <v>3.8</v>
      </c>
      <c r="L399" s="3" t="s">
        <v>30</v>
      </c>
      <c r="M399" s="3">
        <v>1.5</v>
      </c>
      <c r="N399" s="4">
        <v>78060</v>
      </c>
      <c r="O399" s="4" t="str" cm="1">
        <f t="array" ref="O399">_xlfn.IFS(N399&lt;45000,"Under 45K",N399&lt;75000,"45K - 75K",N399&lt;100000,"75K - 100K",N399&gt;=100000,"Over 100K")</f>
        <v>75K - 100K</v>
      </c>
      <c r="P399" s="2" t="s">
        <v>152</v>
      </c>
    </row>
    <row r="400" spans="1:16">
      <c r="A400" s="2" t="s">
        <v>835</v>
      </c>
      <c r="B400" s="2" t="s">
        <v>836</v>
      </c>
      <c r="C400" s="2" t="s">
        <v>826</v>
      </c>
      <c r="D400" s="2" t="s">
        <v>19</v>
      </c>
      <c r="E400" s="15">
        <v>0</v>
      </c>
      <c r="F400" s="3">
        <v>71.900000000000006</v>
      </c>
      <c r="G400" s="3">
        <v>73.8</v>
      </c>
      <c r="H400" s="3">
        <v>0</v>
      </c>
      <c r="I400" s="3">
        <v>0</v>
      </c>
      <c r="J400" s="3">
        <v>1.9</v>
      </c>
      <c r="K400" s="3">
        <v>2.7</v>
      </c>
      <c r="L400" s="3">
        <v>0.7</v>
      </c>
      <c r="M400" s="3">
        <v>7</v>
      </c>
      <c r="N400" s="4">
        <v>58610</v>
      </c>
      <c r="O400" s="4" t="str" cm="1">
        <f t="array" ref="O400">_xlfn.IFS(N400&lt;45000,"Under 45K",N400&lt;75000,"45K - 75K",N400&lt;100000,"75K - 100K",N400&gt;=100000,"Over 100K")</f>
        <v>45K - 75K</v>
      </c>
      <c r="P400" s="2" t="s">
        <v>47</v>
      </c>
    </row>
    <row r="401" spans="1:16">
      <c r="A401" s="2" t="s">
        <v>837</v>
      </c>
      <c r="B401" s="2" t="s">
        <v>838</v>
      </c>
      <c r="C401" s="2" t="s">
        <v>826</v>
      </c>
      <c r="D401" s="2" t="s">
        <v>19</v>
      </c>
      <c r="E401" s="15">
        <v>0</v>
      </c>
      <c r="F401" s="3">
        <v>21.5</v>
      </c>
      <c r="G401" s="3">
        <v>21.8</v>
      </c>
      <c r="H401" s="3">
        <v>0</v>
      </c>
      <c r="I401" s="3">
        <v>0</v>
      </c>
      <c r="J401" s="3">
        <v>0.3</v>
      </c>
      <c r="K401" s="3">
        <v>1.6</v>
      </c>
      <c r="L401" s="3">
        <v>0.3</v>
      </c>
      <c r="M401" s="3">
        <v>2.1</v>
      </c>
      <c r="N401" s="4">
        <v>74960</v>
      </c>
      <c r="O401" s="4" t="str" cm="1">
        <f t="array" ref="O401">_xlfn.IFS(N401&lt;45000,"Under 45K",N401&lt;75000,"45K - 75K",N401&lt;100000,"75K - 100K",N401&gt;=100000,"Over 100K")</f>
        <v>45K - 75K</v>
      </c>
      <c r="P401" s="2" t="s">
        <v>47</v>
      </c>
    </row>
    <row r="402" spans="1:16">
      <c r="A402" s="2" t="s">
        <v>839</v>
      </c>
      <c r="B402" s="2" t="s">
        <v>840</v>
      </c>
      <c r="C402" s="2" t="s">
        <v>826</v>
      </c>
      <c r="D402" s="2" t="s">
        <v>19</v>
      </c>
      <c r="E402" s="15">
        <v>0</v>
      </c>
      <c r="F402" s="3">
        <v>71.400000000000006</v>
      </c>
      <c r="G402" s="3">
        <v>69.5</v>
      </c>
      <c r="H402" s="3">
        <v>0</v>
      </c>
      <c r="I402" s="3">
        <v>0</v>
      </c>
      <c r="J402" s="3">
        <v>-2</v>
      </c>
      <c r="K402" s="3">
        <v>-2.7</v>
      </c>
      <c r="L402" s="3" t="s">
        <v>30</v>
      </c>
      <c r="M402" s="3">
        <v>12.6</v>
      </c>
      <c r="N402" s="4">
        <v>34980</v>
      </c>
      <c r="O402" s="4" t="str" cm="1">
        <f t="array" ref="O402">_xlfn.IFS(N402&lt;45000,"Under 45K",N402&lt;75000,"45K - 75K",N402&lt;100000,"75K - 100K",N402&gt;=100000,"Over 100K")</f>
        <v>Under 45K</v>
      </c>
      <c r="P402" s="2" t="s">
        <v>47</v>
      </c>
    </row>
    <row r="403" spans="1:16">
      <c r="A403" s="2" t="s">
        <v>841</v>
      </c>
      <c r="B403" s="2" t="s">
        <v>842</v>
      </c>
      <c r="C403" s="2" t="s">
        <v>826</v>
      </c>
      <c r="D403" s="2" t="s">
        <v>19</v>
      </c>
      <c r="E403" s="2">
        <v>-0.1923298</v>
      </c>
      <c r="F403" s="3">
        <v>160.80000000000001</v>
      </c>
      <c r="G403" s="3">
        <v>165.4</v>
      </c>
      <c r="H403" s="3">
        <v>0.1</v>
      </c>
      <c r="I403" s="3">
        <v>0.1</v>
      </c>
      <c r="J403" s="3">
        <v>4.5999999999999996</v>
      </c>
      <c r="K403" s="3">
        <v>2.9</v>
      </c>
      <c r="L403" s="3" t="s">
        <v>30</v>
      </c>
      <c r="M403" s="3">
        <v>10.9</v>
      </c>
      <c r="N403" s="4">
        <v>105980</v>
      </c>
      <c r="O403" s="4" t="str" cm="1">
        <f t="array" ref="O403">_xlfn.IFS(N403&lt;45000,"Under 45K",N403&lt;75000,"45K - 75K",N403&lt;100000,"75K - 100K",N403&gt;=100000,"Over 100K")</f>
        <v>Over 100K</v>
      </c>
      <c r="P403" s="2" t="s">
        <v>47</v>
      </c>
    </row>
    <row r="404" spans="1:16">
      <c r="A404" s="2" t="s">
        <v>843</v>
      </c>
      <c r="B404" s="2" t="s">
        <v>844</v>
      </c>
      <c r="C404" s="2" t="s">
        <v>826</v>
      </c>
      <c r="D404" s="2" t="s">
        <v>19</v>
      </c>
      <c r="E404" s="2">
        <v>-0.21441270000000001</v>
      </c>
      <c r="F404" s="3">
        <v>2.9</v>
      </c>
      <c r="G404" s="3">
        <v>3.3</v>
      </c>
      <c r="H404" s="3">
        <v>0</v>
      </c>
      <c r="I404" s="3">
        <v>0</v>
      </c>
      <c r="J404" s="3">
        <v>0.4</v>
      </c>
      <c r="K404" s="3">
        <v>14.6</v>
      </c>
      <c r="L404" s="3" t="s">
        <v>30</v>
      </c>
      <c r="M404" s="3">
        <v>0.3</v>
      </c>
      <c r="N404" s="4">
        <v>52380</v>
      </c>
      <c r="O404" s="4" t="str" cm="1">
        <f t="array" ref="O404">_xlfn.IFS(N404&lt;45000,"Under 45K",N404&lt;75000,"45K - 75K",N404&lt;100000,"75K - 100K",N404&gt;=100000,"Over 100K")</f>
        <v>45K - 75K</v>
      </c>
      <c r="P404" s="2" t="s">
        <v>47</v>
      </c>
    </row>
    <row r="405" spans="1:16">
      <c r="A405" s="2" t="s">
        <v>845</v>
      </c>
      <c r="B405" s="2" t="s">
        <v>846</v>
      </c>
      <c r="C405" s="2" t="s">
        <v>826</v>
      </c>
      <c r="D405" s="2" t="s">
        <v>19</v>
      </c>
      <c r="E405" s="2">
        <v>-0.39084210000000003</v>
      </c>
      <c r="F405" s="3">
        <v>1262.0999999999999</v>
      </c>
      <c r="G405" s="3">
        <v>1267.0999999999999</v>
      </c>
      <c r="H405" s="3">
        <v>0.7</v>
      </c>
      <c r="I405" s="3">
        <v>0.7</v>
      </c>
      <c r="J405" s="3">
        <v>5.0999999999999996</v>
      </c>
      <c r="K405" s="3">
        <v>0.4</v>
      </c>
      <c r="L405" s="3">
        <v>0.5</v>
      </c>
      <c r="M405" s="3">
        <v>161</v>
      </c>
      <c r="N405" s="4">
        <v>38370</v>
      </c>
      <c r="O405" s="4" t="str" cm="1">
        <f t="array" ref="O405">_xlfn.IFS(N405&lt;45000,"Under 45K",N405&lt;75000,"45K - 75K",N405&lt;100000,"75K - 100K",N405&gt;=100000,"Over 100K")</f>
        <v>Under 45K</v>
      </c>
      <c r="P405" s="2" t="s">
        <v>47</v>
      </c>
    </row>
    <row r="406" spans="1:16">
      <c r="A406" s="2" t="s">
        <v>847</v>
      </c>
      <c r="B406" s="2" t="s">
        <v>848</v>
      </c>
      <c r="C406" s="2" t="s">
        <v>826</v>
      </c>
      <c r="D406" s="2" t="s">
        <v>19</v>
      </c>
      <c r="E406" s="2">
        <v>-0.4585168</v>
      </c>
      <c r="F406" s="3">
        <v>7</v>
      </c>
      <c r="G406" s="3">
        <v>6.6</v>
      </c>
      <c r="H406" s="3">
        <v>0</v>
      </c>
      <c r="I406" s="3">
        <v>0</v>
      </c>
      <c r="J406" s="3">
        <v>-0.4</v>
      </c>
      <c r="K406" s="3">
        <v>-6</v>
      </c>
      <c r="L406" s="3" t="s">
        <v>30</v>
      </c>
      <c r="M406" s="3">
        <v>0.5</v>
      </c>
      <c r="N406" s="4">
        <v>68180</v>
      </c>
      <c r="O406" s="4" t="str" cm="1">
        <f t="array" ref="O406">_xlfn.IFS(N406&lt;45000,"Under 45K",N406&lt;75000,"45K - 75K",N406&lt;100000,"75K - 100K",N406&gt;=100000,"Over 100K")</f>
        <v>45K - 75K</v>
      </c>
      <c r="P406" s="2" t="s">
        <v>23</v>
      </c>
    </row>
    <row r="407" spans="1:16">
      <c r="A407" s="2" t="s">
        <v>849</v>
      </c>
      <c r="B407" s="2" t="s">
        <v>850</v>
      </c>
      <c r="C407" s="2" t="s">
        <v>826</v>
      </c>
      <c r="D407" s="2" t="s">
        <v>19</v>
      </c>
      <c r="E407" s="2">
        <v>-0.47183849999999999</v>
      </c>
      <c r="F407" s="3">
        <v>149.69999999999999</v>
      </c>
      <c r="G407" s="3">
        <v>158.4</v>
      </c>
      <c r="H407" s="3">
        <v>0.1</v>
      </c>
      <c r="I407" s="3">
        <v>0.1</v>
      </c>
      <c r="J407" s="3">
        <v>8.6999999999999993</v>
      </c>
      <c r="K407" s="3">
        <v>5.8</v>
      </c>
      <c r="L407" s="3" t="s">
        <v>30</v>
      </c>
      <c r="M407" s="3">
        <v>42.7</v>
      </c>
      <c r="N407" s="4">
        <v>33720</v>
      </c>
      <c r="O407" s="4" t="str" cm="1">
        <f t="array" ref="O407">_xlfn.IFS(N407&lt;45000,"Under 45K",N407&lt;75000,"45K - 75K",N407&lt;100000,"75K - 100K",N407&gt;=100000,"Over 100K")</f>
        <v>Under 45K</v>
      </c>
      <c r="P407" s="2" t="s">
        <v>165</v>
      </c>
    </row>
    <row r="408" spans="1:16">
      <c r="A408" s="2" t="s">
        <v>851</v>
      </c>
      <c r="B408" s="2" t="s">
        <v>852</v>
      </c>
      <c r="C408" s="2" t="s">
        <v>826</v>
      </c>
      <c r="D408" s="2" t="s">
        <v>19</v>
      </c>
      <c r="E408" s="2">
        <v>-0.50685579999999997</v>
      </c>
      <c r="F408" s="3">
        <v>50.1</v>
      </c>
      <c r="G408" s="3">
        <v>47.1</v>
      </c>
      <c r="H408" s="3">
        <v>0</v>
      </c>
      <c r="I408" s="3">
        <v>0</v>
      </c>
      <c r="J408" s="3">
        <v>-3</v>
      </c>
      <c r="K408" s="3">
        <v>-6</v>
      </c>
      <c r="L408" s="3">
        <v>0.3</v>
      </c>
      <c r="M408" s="3">
        <v>4.7</v>
      </c>
      <c r="N408" s="4">
        <v>63360</v>
      </c>
      <c r="O408" s="4" t="str" cm="1">
        <f t="array" ref="O408">_xlfn.IFS(N408&lt;45000,"Under 45K",N408&lt;75000,"45K - 75K",N408&lt;100000,"75K - 100K",N408&gt;=100000,"Over 100K")</f>
        <v>45K - 75K</v>
      </c>
      <c r="P408" s="2" t="s">
        <v>47</v>
      </c>
    </row>
    <row r="409" spans="1:16">
      <c r="A409" s="2" t="s">
        <v>853</v>
      </c>
      <c r="B409" s="2" t="s">
        <v>854</v>
      </c>
      <c r="C409" s="2" t="s">
        <v>826</v>
      </c>
      <c r="D409" s="2" t="s">
        <v>19</v>
      </c>
      <c r="E409" s="2">
        <v>-0.5103183</v>
      </c>
      <c r="F409" s="3">
        <v>19</v>
      </c>
      <c r="G409" s="3">
        <v>18.600000000000001</v>
      </c>
      <c r="H409" s="3">
        <v>0</v>
      </c>
      <c r="I409" s="3">
        <v>0</v>
      </c>
      <c r="J409" s="3">
        <v>-0.4</v>
      </c>
      <c r="K409" s="3">
        <v>-2.2000000000000002</v>
      </c>
      <c r="L409" s="3">
        <v>6.3</v>
      </c>
      <c r="M409" s="3">
        <v>1.8</v>
      </c>
      <c r="N409" s="4">
        <v>57050</v>
      </c>
      <c r="O409" s="4" t="str" cm="1">
        <f t="array" ref="O409">_xlfn.IFS(N409&lt;45000,"Under 45K",N409&lt;75000,"45K - 75K",N409&lt;100000,"75K - 100K",N409&gt;=100000,"Over 100K")</f>
        <v>45K - 75K</v>
      </c>
      <c r="P409" s="2" t="s">
        <v>47</v>
      </c>
    </row>
    <row r="410" spans="1:16">
      <c r="A410" s="2" t="s">
        <v>855</v>
      </c>
      <c r="B410" s="2" t="s">
        <v>856</v>
      </c>
      <c r="C410" s="2" t="s">
        <v>826</v>
      </c>
      <c r="D410" s="2" t="s">
        <v>19</v>
      </c>
      <c r="E410" s="2">
        <v>-0.55842780000000003</v>
      </c>
      <c r="F410" s="3">
        <v>57.1</v>
      </c>
      <c r="G410" s="3">
        <v>55.5</v>
      </c>
      <c r="H410" s="3">
        <v>0</v>
      </c>
      <c r="I410" s="3">
        <v>0</v>
      </c>
      <c r="J410" s="3">
        <v>-1.6</v>
      </c>
      <c r="K410" s="3">
        <v>-2.8</v>
      </c>
      <c r="L410" s="3" t="s">
        <v>30</v>
      </c>
      <c r="M410" s="3">
        <v>4.3</v>
      </c>
      <c r="N410" s="4">
        <v>76310</v>
      </c>
      <c r="O410" s="4" t="str" cm="1">
        <f t="array" ref="O410">_xlfn.IFS(N410&lt;45000,"Under 45K",N410&lt;75000,"45K - 75K",N410&lt;100000,"75K - 100K",N410&gt;=100000,"Over 100K")</f>
        <v>75K - 100K</v>
      </c>
      <c r="P410" s="2" t="s">
        <v>47</v>
      </c>
    </row>
    <row r="411" spans="1:16">
      <c r="A411" s="2" t="s">
        <v>857</v>
      </c>
      <c r="B411" s="2" t="s">
        <v>858</v>
      </c>
      <c r="C411" s="2" t="s">
        <v>826</v>
      </c>
      <c r="D411" s="2" t="s">
        <v>19</v>
      </c>
      <c r="E411" s="2">
        <v>-0.56995110000000004</v>
      </c>
      <c r="F411" s="3">
        <v>91.4</v>
      </c>
      <c r="G411" s="3">
        <v>94.7</v>
      </c>
      <c r="H411" s="3">
        <v>0.1</v>
      </c>
      <c r="I411" s="3">
        <v>0.1</v>
      </c>
      <c r="J411" s="3">
        <v>3.3</v>
      </c>
      <c r="K411" s="3">
        <v>3.6</v>
      </c>
      <c r="L411" s="3" t="s">
        <v>30</v>
      </c>
      <c r="M411" s="3">
        <v>18</v>
      </c>
      <c r="N411" s="4">
        <v>37700</v>
      </c>
      <c r="O411" s="4" t="str" cm="1">
        <f t="array" ref="O411">_xlfn.IFS(N411&lt;45000,"Under 45K",N411&lt;75000,"45K - 75K",N411&lt;100000,"75K - 100K",N411&gt;=100000,"Over 100K")</f>
        <v>Under 45K</v>
      </c>
      <c r="P411" s="2" t="s">
        <v>165</v>
      </c>
    </row>
    <row r="412" spans="1:16">
      <c r="A412" s="2" t="s">
        <v>859</v>
      </c>
      <c r="B412" s="2" t="s">
        <v>860</v>
      </c>
      <c r="C412" s="2" t="s">
        <v>826</v>
      </c>
      <c r="D412" s="2" t="s">
        <v>19</v>
      </c>
      <c r="E412" s="2">
        <v>-0.59302100000000002</v>
      </c>
      <c r="F412" s="3">
        <v>97.2</v>
      </c>
      <c r="G412" s="3">
        <v>100.5</v>
      </c>
      <c r="H412" s="3">
        <v>0.1</v>
      </c>
      <c r="I412" s="3">
        <v>0.1</v>
      </c>
      <c r="J412" s="3">
        <v>3.4</v>
      </c>
      <c r="K412" s="3">
        <v>3.4</v>
      </c>
      <c r="L412" s="3" t="s">
        <v>30</v>
      </c>
      <c r="M412" s="3">
        <v>6.5</v>
      </c>
      <c r="N412" s="4">
        <v>92430</v>
      </c>
      <c r="O412" s="4" t="str" cm="1">
        <f t="array" ref="O412">_xlfn.IFS(N412&lt;45000,"Under 45K",N412&lt;75000,"45K - 75K",N412&lt;100000,"75K - 100K",N412&gt;=100000,"Over 100K")</f>
        <v>75K - 100K</v>
      </c>
      <c r="P412" s="2" t="s">
        <v>152</v>
      </c>
    </row>
    <row r="413" spans="1:16">
      <c r="A413" s="2" t="s">
        <v>861</v>
      </c>
      <c r="B413" s="2" t="s">
        <v>862</v>
      </c>
      <c r="C413" s="2" t="s">
        <v>826</v>
      </c>
      <c r="D413" s="2" t="s">
        <v>19</v>
      </c>
      <c r="E413" s="2">
        <v>-0.5946321</v>
      </c>
      <c r="F413" s="3">
        <v>12.2</v>
      </c>
      <c r="G413" s="3">
        <v>12.7</v>
      </c>
      <c r="H413" s="3">
        <v>0</v>
      </c>
      <c r="I413" s="3">
        <v>0</v>
      </c>
      <c r="J413" s="3">
        <v>0.5</v>
      </c>
      <c r="K413" s="3">
        <v>3.9</v>
      </c>
      <c r="L413" s="3" t="s">
        <v>30</v>
      </c>
      <c r="M413" s="3">
        <v>1.3</v>
      </c>
      <c r="N413" s="4">
        <v>45830</v>
      </c>
      <c r="O413" s="4" t="str" cm="1">
        <f t="array" ref="O413">_xlfn.IFS(N413&lt;45000,"Under 45K",N413&lt;75000,"45K - 75K",N413&lt;100000,"75K - 100K",N413&gt;=100000,"Over 100K")</f>
        <v>45K - 75K</v>
      </c>
      <c r="P413" s="2" t="s">
        <v>47</v>
      </c>
    </row>
    <row r="414" spans="1:16">
      <c r="A414" s="2" t="s">
        <v>863</v>
      </c>
      <c r="B414" s="2" t="s">
        <v>864</v>
      </c>
      <c r="C414" s="2" t="s">
        <v>826</v>
      </c>
      <c r="D414" s="2" t="s">
        <v>19</v>
      </c>
      <c r="E414" s="2">
        <v>-0.62399309999999997</v>
      </c>
      <c r="F414" s="3">
        <v>8.4</v>
      </c>
      <c r="G414" s="3">
        <v>8.1999999999999993</v>
      </c>
      <c r="H414" s="3">
        <v>0</v>
      </c>
      <c r="I414" s="3">
        <v>0</v>
      </c>
      <c r="J414" s="3">
        <v>-0.1</v>
      </c>
      <c r="K414" s="3">
        <v>-1.5</v>
      </c>
      <c r="L414" s="3" t="s">
        <v>30</v>
      </c>
      <c r="M414" s="3">
        <v>0.7</v>
      </c>
      <c r="N414" s="4">
        <v>47150</v>
      </c>
      <c r="O414" s="4" t="str" cm="1">
        <f t="array" ref="O414">_xlfn.IFS(N414&lt;45000,"Under 45K",N414&lt;75000,"45K - 75K",N414&lt;100000,"75K - 100K",N414&gt;=100000,"Over 100K")</f>
        <v>45K - 75K</v>
      </c>
      <c r="P414" s="2" t="s">
        <v>47</v>
      </c>
    </row>
    <row r="415" spans="1:16">
      <c r="A415" s="2" t="s">
        <v>865</v>
      </c>
      <c r="B415" s="2" t="s">
        <v>866</v>
      </c>
      <c r="C415" s="2" t="s">
        <v>826</v>
      </c>
      <c r="D415" s="2" t="s">
        <v>19</v>
      </c>
      <c r="E415" s="2">
        <v>-0.66811229999999999</v>
      </c>
      <c r="F415" s="3">
        <v>698.8</v>
      </c>
      <c r="G415" s="3">
        <v>720.8</v>
      </c>
      <c r="H415" s="3">
        <v>0.4</v>
      </c>
      <c r="I415" s="3">
        <v>0.4</v>
      </c>
      <c r="J415" s="3">
        <v>22</v>
      </c>
      <c r="K415" s="3">
        <v>3.1</v>
      </c>
      <c r="L415" s="3">
        <v>0.1</v>
      </c>
      <c r="M415" s="3">
        <v>53.7</v>
      </c>
      <c r="N415" s="4">
        <v>76290</v>
      </c>
      <c r="O415" s="4" t="str" cm="1">
        <f t="array" ref="O415">_xlfn.IFS(N415&lt;45000,"Under 45K",N415&lt;75000,"45K - 75K",N415&lt;100000,"75K - 100K",N415&gt;=100000,"Over 100K")</f>
        <v>75K - 100K</v>
      </c>
      <c r="P415" s="2" t="s">
        <v>47</v>
      </c>
    </row>
    <row r="416" spans="1:16">
      <c r="A416" s="2" t="s">
        <v>867</v>
      </c>
      <c r="B416" s="2" t="s">
        <v>868</v>
      </c>
      <c r="C416" s="2" t="s">
        <v>826</v>
      </c>
      <c r="D416" s="2" t="s">
        <v>19</v>
      </c>
      <c r="E416" s="2">
        <v>-0.82055149999999999</v>
      </c>
      <c r="F416" s="3">
        <v>3.1</v>
      </c>
      <c r="G416" s="3">
        <v>3.2</v>
      </c>
      <c r="H416" s="3">
        <v>0</v>
      </c>
      <c r="I416" s="3">
        <v>0</v>
      </c>
      <c r="J416" s="3">
        <v>0.1</v>
      </c>
      <c r="K416" s="3">
        <v>3</v>
      </c>
      <c r="L416" s="3">
        <v>1.8</v>
      </c>
      <c r="M416" s="3">
        <v>0.2</v>
      </c>
      <c r="N416" s="4">
        <v>82320</v>
      </c>
      <c r="O416" s="4" t="str" cm="1">
        <f t="array" ref="O416">_xlfn.IFS(N416&lt;45000,"Under 45K",N416&lt;75000,"45K - 75K",N416&lt;100000,"75K - 100K",N416&gt;=100000,"Over 100K")</f>
        <v>75K - 100K</v>
      </c>
      <c r="P416" s="2" t="s">
        <v>47</v>
      </c>
    </row>
    <row r="417" spans="1:16">
      <c r="A417" s="2" t="s">
        <v>869</v>
      </c>
      <c r="B417" s="2" t="s">
        <v>870</v>
      </c>
      <c r="C417" s="2" t="s">
        <v>826</v>
      </c>
      <c r="D417" s="2" t="s">
        <v>19</v>
      </c>
      <c r="E417" s="2">
        <v>-0.88753649999999995</v>
      </c>
      <c r="F417" s="3">
        <v>387.5</v>
      </c>
      <c r="G417" s="3">
        <v>357.4</v>
      </c>
      <c r="H417" s="3">
        <v>0.2</v>
      </c>
      <c r="I417" s="3">
        <v>0.2</v>
      </c>
      <c r="J417" s="3">
        <v>-30.1</v>
      </c>
      <c r="K417" s="3">
        <v>-7.8</v>
      </c>
      <c r="L417" s="3" t="s">
        <v>30</v>
      </c>
      <c r="M417" s="3">
        <v>30.1</v>
      </c>
      <c r="N417" s="4">
        <v>57970</v>
      </c>
      <c r="O417" s="4" t="str" cm="1">
        <f t="array" ref="O417">_xlfn.IFS(N417&lt;45000,"Under 45K",N417&lt;75000,"45K - 75K",N417&lt;100000,"75K - 100K",N417&gt;=100000,"Over 100K")</f>
        <v>45K - 75K</v>
      </c>
      <c r="P417" s="2" t="s">
        <v>47</v>
      </c>
    </row>
    <row r="418" spans="1:16">
      <c r="A418" s="2" t="s">
        <v>871</v>
      </c>
      <c r="B418" s="2" t="s">
        <v>872</v>
      </c>
      <c r="C418" s="2" t="s">
        <v>826</v>
      </c>
      <c r="D418" s="2" t="s">
        <v>19</v>
      </c>
      <c r="E418" s="2">
        <v>-1.3202320000000001</v>
      </c>
      <c r="F418" s="3">
        <v>344.9</v>
      </c>
      <c r="G418" s="3">
        <v>356.7</v>
      </c>
      <c r="H418" s="3">
        <v>0.2</v>
      </c>
      <c r="I418" s="3">
        <v>0.2</v>
      </c>
      <c r="J418" s="3">
        <v>11.8</v>
      </c>
      <c r="K418" s="3">
        <v>3.4</v>
      </c>
      <c r="L418" s="3">
        <v>0</v>
      </c>
      <c r="M418" s="3">
        <v>27.1</v>
      </c>
      <c r="N418" s="4">
        <v>59530</v>
      </c>
      <c r="O418" s="4" t="str" cm="1">
        <f t="array" ref="O418">_xlfn.IFS(N418&lt;45000,"Under 45K",N418&lt;75000,"45K - 75K",N418&lt;100000,"75K - 100K",N418&gt;=100000,"Over 100K")</f>
        <v>45K - 75K</v>
      </c>
      <c r="P418" s="2" t="s">
        <v>152</v>
      </c>
    </row>
    <row r="419" spans="1:16">
      <c r="A419" s="2" t="s">
        <v>873</v>
      </c>
      <c r="B419" s="2" t="s">
        <v>874</v>
      </c>
      <c r="C419" s="2" t="s">
        <v>875</v>
      </c>
      <c r="D419" s="2" t="s">
        <v>19</v>
      </c>
      <c r="E419" s="15">
        <v>0</v>
      </c>
      <c r="F419" s="3">
        <v>24</v>
      </c>
      <c r="G419" s="3">
        <v>25.3</v>
      </c>
      <c r="H419" s="3">
        <v>0</v>
      </c>
      <c r="I419" s="3">
        <v>0</v>
      </c>
      <c r="J419" s="3">
        <v>1.3</v>
      </c>
      <c r="K419" s="3">
        <v>5.5</v>
      </c>
      <c r="L419" s="3" t="s">
        <v>30</v>
      </c>
      <c r="M419" s="3">
        <v>3.7</v>
      </c>
      <c r="N419" s="4">
        <v>36210</v>
      </c>
      <c r="O419" s="4" t="str" cm="1">
        <f t="array" ref="O419">_xlfn.IFS(N419&lt;45000,"Under 45K",N419&lt;75000,"45K - 75K",N419&lt;100000,"75K - 100K",N419&gt;=100000,"Over 100K")</f>
        <v>Under 45K</v>
      </c>
      <c r="P419" s="2" t="s">
        <v>165</v>
      </c>
    </row>
    <row r="420" spans="1:16">
      <c r="A420" s="2" t="s">
        <v>876</v>
      </c>
      <c r="B420" s="2" t="s">
        <v>877</v>
      </c>
      <c r="C420" s="2" t="s">
        <v>875</v>
      </c>
      <c r="D420" s="2" t="s">
        <v>19</v>
      </c>
      <c r="E420" s="15">
        <v>0</v>
      </c>
      <c r="F420" s="3">
        <v>3796</v>
      </c>
      <c r="G420" s="3">
        <v>4029.2</v>
      </c>
      <c r="H420" s="3">
        <v>2.2000000000000002</v>
      </c>
      <c r="I420" s="3">
        <v>2.2999999999999998</v>
      </c>
      <c r="J420" s="3">
        <v>233.2</v>
      </c>
      <c r="K420" s="3">
        <v>6.1</v>
      </c>
      <c r="L420" s="3">
        <v>0.1</v>
      </c>
      <c r="M420" s="3">
        <v>904.3</v>
      </c>
      <c r="N420" s="4">
        <v>30480</v>
      </c>
      <c r="O420" s="4" t="str" cm="1">
        <f t="array" ref="O420">_xlfn.IFS(N420&lt;45000,"Under 45K",N420&lt;75000,"45K - 75K",N420&lt;100000,"75K - 100K",N420&gt;=100000,"Over 100K")</f>
        <v>Under 45K</v>
      </c>
      <c r="P420" s="2" t="s">
        <v>165</v>
      </c>
    </row>
    <row r="421" spans="1:16">
      <c r="A421" s="2" t="s">
        <v>878</v>
      </c>
      <c r="B421" s="2" t="s">
        <v>879</v>
      </c>
      <c r="C421" s="2" t="s">
        <v>875</v>
      </c>
      <c r="D421" s="2" t="s">
        <v>19</v>
      </c>
      <c r="E421" s="15">
        <v>0</v>
      </c>
      <c r="F421" s="3">
        <v>90.5</v>
      </c>
      <c r="G421" s="3">
        <v>96.3</v>
      </c>
      <c r="H421" s="3">
        <v>0.1</v>
      </c>
      <c r="I421" s="3">
        <v>0.1</v>
      </c>
      <c r="J421" s="3">
        <v>5.8</v>
      </c>
      <c r="K421" s="3">
        <v>6.4</v>
      </c>
      <c r="L421" s="3" t="s">
        <v>30</v>
      </c>
      <c r="M421" s="3">
        <v>14.6</v>
      </c>
      <c r="N421" s="4">
        <v>34830</v>
      </c>
      <c r="O421" s="4" t="str" cm="1">
        <f t="array" ref="O421">_xlfn.IFS(N421&lt;45000,"Under 45K",N421&lt;75000,"45K - 75K",N421&lt;100000,"75K - 100K",N421&gt;=100000,"Over 100K")</f>
        <v>Under 45K</v>
      </c>
      <c r="P421" s="2" t="s">
        <v>165</v>
      </c>
    </row>
    <row r="422" spans="1:16">
      <c r="A422" s="2" t="s">
        <v>880</v>
      </c>
      <c r="B422" s="2" t="s">
        <v>881</v>
      </c>
      <c r="C422" s="2" t="s">
        <v>875</v>
      </c>
      <c r="D422" s="2" t="s">
        <v>19</v>
      </c>
      <c r="E422" s="2">
        <v>-5.6547699999999999E-2</v>
      </c>
      <c r="F422" s="3">
        <v>429.9</v>
      </c>
      <c r="G422" s="3">
        <v>423.5</v>
      </c>
      <c r="H422" s="3">
        <v>0.3</v>
      </c>
      <c r="I422" s="3">
        <v>0.2</v>
      </c>
      <c r="J422" s="3">
        <v>-6.4</v>
      </c>
      <c r="K422" s="3">
        <v>-1.5</v>
      </c>
      <c r="L422" s="3">
        <v>0.1</v>
      </c>
      <c r="M422" s="3">
        <v>107.7</v>
      </c>
      <c r="N422" s="4">
        <v>30380</v>
      </c>
      <c r="O422" s="4" t="str" cm="1">
        <f t="array" ref="O422">_xlfn.IFS(N422&lt;45000,"Under 45K",N422&lt;75000,"45K - 75K",N422&lt;100000,"75K - 100K",N422&gt;=100000,"Over 100K")</f>
        <v>Under 45K</v>
      </c>
      <c r="P422" s="2" t="s">
        <v>165</v>
      </c>
    </row>
    <row r="423" spans="1:16">
      <c r="A423" s="2" t="s">
        <v>882</v>
      </c>
      <c r="B423" s="2" t="s">
        <v>883</v>
      </c>
      <c r="C423" s="2" t="s">
        <v>875</v>
      </c>
      <c r="D423" s="2" t="s">
        <v>19</v>
      </c>
      <c r="E423" s="2">
        <v>-0.25754919999999998</v>
      </c>
      <c r="F423" s="3">
        <v>1215</v>
      </c>
      <c r="G423" s="3">
        <v>1288</v>
      </c>
      <c r="H423" s="3">
        <v>0.7</v>
      </c>
      <c r="I423" s="3">
        <v>0.7</v>
      </c>
      <c r="J423" s="3">
        <v>73</v>
      </c>
      <c r="K423" s="3">
        <v>6</v>
      </c>
      <c r="L423" s="3">
        <v>1.6</v>
      </c>
      <c r="M423" s="3">
        <v>183.9</v>
      </c>
      <c r="N423" s="4">
        <v>42010</v>
      </c>
      <c r="O423" s="4" t="str" cm="1">
        <f t="array" ref="O423">_xlfn.IFS(N423&lt;45000,"Under 45K",N423&lt;75000,"45K - 75K",N423&lt;100000,"75K - 100K",N423&gt;=100000,"Over 100K")</f>
        <v>Under 45K</v>
      </c>
      <c r="P423" s="2" t="s">
        <v>47</v>
      </c>
    </row>
    <row r="424" spans="1:16">
      <c r="A424" s="2" t="s">
        <v>884</v>
      </c>
      <c r="B424" s="2" t="s">
        <v>885</v>
      </c>
      <c r="C424" s="2" t="s">
        <v>875</v>
      </c>
      <c r="D424" s="2" t="s">
        <v>19</v>
      </c>
      <c r="E424" s="2">
        <v>-0.26764329999999997</v>
      </c>
      <c r="F424" s="3">
        <v>197.3</v>
      </c>
      <c r="G424" s="3">
        <v>211.3</v>
      </c>
      <c r="H424" s="3">
        <v>0.1</v>
      </c>
      <c r="I424" s="3">
        <v>0.1</v>
      </c>
      <c r="J424" s="3">
        <v>14</v>
      </c>
      <c r="K424" s="3">
        <v>7.1</v>
      </c>
      <c r="L424" s="3">
        <v>6.3</v>
      </c>
      <c r="M424" s="3">
        <v>24.4</v>
      </c>
      <c r="N424" s="4">
        <v>60990</v>
      </c>
      <c r="O424" s="4" t="str" cm="1">
        <f t="array" ref="O424">_xlfn.IFS(N424&lt;45000,"Under 45K",N424&lt;75000,"45K - 75K",N424&lt;100000,"75K - 100K",N424&gt;=100000,"Over 100K")</f>
        <v>45K - 75K</v>
      </c>
      <c r="P424" s="2" t="s">
        <v>47</v>
      </c>
    </row>
    <row r="425" spans="1:16">
      <c r="A425" s="2" t="s">
        <v>886</v>
      </c>
      <c r="B425" s="2" t="s">
        <v>887</v>
      </c>
      <c r="C425" s="2" t="s">
        <v>875</v>
      </c>
      <c r="D425" s="2" t="s">
        <v>19</v>
      </c>
      <c r="E425" s="2">
        <v>-0.59338170000000001</v>
      </c>
      <c r="F425" s="3">
        <v>151.1</v>
      </c>
      <c r="G425" s="3">
        <v>142.69999999999999</v>
      </c>
      <c r="H425" s="3">
        <v>0.1</v>
      </c>
      <c r="I425" s="3">
        <v>0.1</v>
      </c>
      <c r="J425" s="3">
        <v>-8.4</v>
      </c>
      <c r="K425" s="3">
        <v>-5.6</v>
      </c>
      <c r="L425" s="3" t="s">
        <v>30</v>
      </c>
      <c r="M425" s="3">
        <v>20.6</v>
      </c>
      <c r="N425" s="4">
        <v>35620</v>
      </c>
      <c r="O425" s="4" t="str" cm="1">
        <f t="array" ref="O425">_xlfn.IFS(N425&lt;45000,"Under 45K",N425&lt;75000,"45K - 75K",N425&lt;100000,"75K - 100K",N425&gt;=100000,"Over 100K")</f>
        <v>Under 45K</v>
      </c>
      <c r="P425" s="2" t="s">
        <v>165</v>
      </c>
    </row>
    <row r="426" spans="1:16">
      <c r="A426" s="2" t="s">
        <v>888</v>
      </c>
      <c r="B426" s="2" t="s">
        <v>889</v>
      </c>
      <c r="C426" s="2" t="s">
        <v>875</v>
      </c>
      <c r="D426" s="2" t="s">
        <v>19</v>
      </c>
      <c r="E426" s="2">
        <v>-0.61598830000000004</v>
      </c>
      <c r="F426" s="3">
        <v>756.7</v>
      </c>
      <c r="G426" s="3">
        <v>801.5</v>
      </c>
      <c r="H426" s="3">
        <v>0.4</v>
      </c>
      <c r="I426" s="3">
        <v>0.5</v>
      </c>
      <c r="J426" s="3">
        <v>44.8</v>
      </c>
      <c r="K426" s="3">
        <v>5.9</v>
      </c>
      <c r="L426" s="3">
        <v>0.4</v>
      </c>
      <c r="M426" s="3">
        <v>129.6</v>
      </c>
      <c r="N426" s="4">
        <v>33530</v>
      </c>
      <c r="O426" s="4" t="str" cm="1">
        <f t="array" ref="O426">_xlfn.IFS(N426&lt;45000,"Under 45K",N426&lt;75000,"45K - 75K",N426&lt;100000,"75K - 100K",N426&gt;=100000,"Over 100K")</f>
        <v>Under 45K</v>
      </c>
      <c r="P426" s="2" t="s">
        <v>165</v>
      </c>
    </row>
    <row r="427" spans="1:16">
      <c r="A427" s="2" t="s">
        <v>890</v>
      </c>
      <c r="B427" s="2" t="s">
        <v>891</v>
      </c>
      <c r="C427" s="2" t="s">
        <v>875</v>
      </c>
      <c r="D427" s="2" t="s">
        <v>19</v>
      </c>
      <c r="E427" s="2">
        <v>-0.63608129999999996</v>
      </c>
      <c r="F427" s="3">
        <v>466.1</v>
      </c>
      <c r="G427" s="3">
        <v>475.4</v>
      </c>
      <c r="H427" s="3">
        <v>0.3</v>
      </c>
      <c r="I427" s="3">
        <v>0.3</v>
      </c>
      <c r="J427" s="3">
        <v>9.3000000000000007</v>
      </c>
      <c r="K427" s="3">
        <v>2</v>
      </c>
      <c r="L427" s="3" t="s">
        <v>30</v>
      </c>
      <c r="M427" s="3">
        <v>69.7</v>
      </c>
      <c r="N427" s="4">
        <v>36450</v>
      </c>
      <c r="O427" s="4" t="str" cm="1">
        <f t="array" ref="O427">_xlfn.IFS(N427&lt;45000,"Under 45K",N427&lt;75000,"45K - 75K",N427&lt;100000,"75K - 100K",N427&gt;=100000,"Over 100K")</f>
        <v>Under 45K</v>
      </c>
      <c r="P427" s="2" t="s">
        <v>165</v>
      </c>
    </row>
    <row r="428" spans="1:16">
      <c r="A428" s="2" t="s">
        <v>892</v>
      </c>
      <c r="B428" s="2" t="s">
        <v>893</v>
      </c>
      <c r="C428" s="2" t="s">
        <v>875</v>
      </c>
      <c r="D428" s="2" t="s">
        <v>19</v>
      </c>
      <c r="E428" s="2">
        <v>-0.71318369999999998</v>
      </c>
      <c r="F428" s="3">
        <v>669.5</v>
      </c>
      <c r="G428" s="3">
        <v>579.20000000000005</v>
      </c>
      <c r="H428" s="3">
        <v>0.4</v>
      </c>
      <c r="I428" s="3">
        <v>0.3</v>
      </c>
      <c r="J428" s="3">
        <v>-90.3</v>
      </c>
      <c r="K428" s="3">
        <v>-13.5</v>
      </c>
      <c r="L428" s="3" t="s">
        <v>30</v>
      </c>
      <c r="M428" s="3">
        <v>82.1</v>
      </c>
      <c r="N428" s="4">
        <v>30160</v>
      </c>
      <c r="O428" s="4" t="str" cm="1">
        <f t="array" ref="O428">_xlfn.IFS(N428&lt;45000,"Under 45K",N428&lt;75000,"45K - 75K",N428&lt;100000,"75K - 100K",N428&gt;=100000,"Over 100K")</f>
        <v>Under 45K</v>
      </c>
      <c r="P428" s="2" t="s">
        <v>165</v>
      </c>
    </row>
    <row r="429" spans="1:16">
      <c r="A429" s="2" t="s">
        <v>894</v>
      </c>
      <c r="B429" s="2" t="s">
        <v>895</v>
      </c>
      <c r="C429" s="2" t="s">
        <v>875</v>
      </c>
      <c r="D429" s="2" t="s">
        <v>19</v>
      </c>
      <c r="E429" s="2">
        <v>-0.72702060000000002</v>
      </c>
      <c r="F429" s="3">
        <v>277.2</v>
      </c>
      <c r="G429" s="3">
        <v>285.3</v>
      </c>
      <c r="H429" s="3">
        <v>0.2</v>
      </c>
      <c r="I429" s="3">
        <v>0.2</v>
      </c>
      <c r="J429" s="3">
        <v>8.1999999999999993</v>
      </c>
      <c r="K429" s="3">
        <v>3</v>
      </c>
      <c r="L429" s="3">
        <v>0.1</v>
      </c>
      <c r="M429" s="3">
        <v>48</v>
      </c>
      <c r="N429" s="4">
        <v>34460</v>
      </c>
      <c r="O429" s="4" t="str" cm="1">
        <f t="array" ref="O429">_xlfn.IFS(N429&lt;45000,"Under 45K",N429&lt;75000,"45K - 75K",N429&lt;100000,"75K - 100K",N429&gt;=100000,"Over 100K")</f>
        <v>Under 45K</v>
      </c>
      <c r="P429" s="2" t="s">
        <v>165</v>
      </c>
    </row>
    <row r="430" spans="1:16">
      <c r="A430" s="2" t="s">
        <v>896</v>
      </c>
      <c r="B430" s="2" t="s">
        <v>897</v>
      </c>
      <c r="C430" s="2" t="s">
        <v>875</v>
      </c>
      <c r="D430" s="2" t="s">
        <v>19</v>
      </c>
      <c r="E430" s="2">
        <v>-0.7418264</v>
      </c>
      <c r="F430" s="3">
        <v>1460.2</v>
      </c>
      <c r="G430" s="3">
        <v>1677.2</v>
      </c>
      <c r="H430" s="3">
        <v>0.9</v>
      </c>
      <c r="I430" s="3">
        <v>1</v>
      </c>
      <c r="J430" s="3">
        <v>217</v>
      </c>
      <c r="K430" s="3">
        <v>14.9</v>
      </c>
      <c r="L430" s="3" t="s">
        <v>30</v>
      </c>
      <c r="M430" s="3">
        <v>250.7</v>
      </c>
      <c r="N430" s="4">
        <v>36830</v>
      </c>
      <c r="O430" s="4" t="str" cm="1">
        <f t="array" ref="O430">_xlfn.IFS(N430&lt;45000,"Under 45K",N430&lt;75000,"45K - 75K",N430&lt;100000,"75K - 100K",N430&gt;=100000,"Over 100K")</f>
        <v>Under 45K</v>
      </c>
      <c r="P430" s="2" t="s">
        <v>165</v>
      </c>
    </row>
    <row r="431" spans="1:16">
      <c r="A431" s="2" t="s">
        <v>898</v>
      </c>
      <c r="B431" s="2" t="s">
        <v>899</v>
      </c>
      <c r="C431" s="2" t="s">
        <v>875</v>
      </c>
      <c r="D431" s="2" t="s">
        <v>19</v>
      </c>
      <c r="E431" s="2">
        <v>-0.78674440000000001</v>
      </c>
      <c r="F431" s="3">
        <v>34.200000000000003</v>
      </c>
      <c r="G431" s="3">
        <v>36</v>
      </c>
      <c r="H431" s="3">
        <v>0</v>
      </c>
      <c r="I431" s="3">
        <v>0</v>
      </c>
      <c r="J431" s="3">
        <v>1.7</v>
      </c>
      <c r="K431" s="3">
        <v>5.0999999999999996</v>
      </c>
      <c r="L431" s="3">
        <v>86.9</v>
      </c>
      <c r="M431" s="3">
        <v>5.3</v>
      </c>
      <c r="N431" s="4">
        <v>44530</v>
      </c>
      <c r="O431" s="4" t="str" cm="1">
        <f t="array" ref="O431">_xlfn.IFS(N431&lt;45000,"Under 45K",N431&lt;75000,"45K - 75K",N431&lt;100000,"75K - 100K",N431&gt;=100000,"Over 100K")</f>
        <v>Under 45K</v>
      </c>
      <c r="P431" s="2" t="s">
        <v>152</v>
      </c>
    </row>
    <row r="432" spans="1:16">
      <c r="A432" s="2" t="s">
        <v>900</v>
      </c>
      <c r="B432" s="2" t="s">
        <v>901</v>
      </c>
      <c r="C432" s="2" t="s">
        <v>875</v>
      </c>
      <c r="D432" s="2" t="s">
        <v>19</v>
      </c>
      <c r="E432" s="2">
        <v>-0.94810030000000001</v>
      </c>
      <c r="F432" s="3">
        <v>2329.6999999999998</v>
      </c>
      <c r="G432" s="3">
        <v>2313.5</v>
      </c>
      <c r="H432" s="3">
        <v>1.4</v>
      </c>
      <c r="I432" s="3">
        <v>1.3</v>
      </c>
      <c r="J432" s="3">
        <v>-16.3</v>
      </c>
      <c r="K432" s="3">
        <v>-0.7</v>
      </c>
      <c r="L432" s="3">
        <v>0.7</v>
      </c>
      <c r="M432" s="3">
        <v>456.7</v>
      </c>
      <c r="N432" s="4">
        <v>33760</v>
      </c>
      <c r="O432" s="4" t="str" cm="1">
        <f t="array" ref="O432">_xlfn.IFS(N432&lt;45000,"Under 45K",N432&lt;75000,"45K - 75K",N432&lt;100000,"75K - 100K",N432&gt;=100000,"Over 100K")</f>
        <v>Under 45K</v>
      </c>
      <c r="P432" s="2" t="s">
        <v>165</v>
      </c>
    </row>
    <row r="433" spans="1:16">
      <c r="A433" s="2" t="s">
        <v>902</v>
      </c>
      <c r="B433" s="2" t="s">
        <v>903</v>
      </c>
      <c r="C433" s="2" t="s">
        <v>875</v>
      </c>
      <c r="D433" s="2" t="s">
        <v>19</v>
      </c>
      <c r="E433" s="2">
        <v>-1.226416</v>
      </c>
      <c r="F433" s="3">
        <v>902.7</v>
      </c>
      <c r="G433" s="3">
        <v>871.8</v>
      </c>
      <c r="H433" s="3">
        <v>0.5</v>
      </c>
      <c r="I433" s="3">
        <v>0.5</v>
      </c>
      <c r="J433" s="3">
        <v>-30.9</v>
      </c>
      <c r="K433" s="3">
        <v>-3.4</v>
      </c>
      <c r="L433" s="3">
        <v>0.5</v>
      </c>
      <c r="M433" s="3">
        <v>148</v>
      </c>
      <c r="N433" s="4">
        <v>34220</v>
      </c>
      <c r="O433" s="4" t="str" cm="1">
        <f t="array" ref="O433">_xlfn.IFS(N433&lt;45000,"Under 45K",N433&lt;75000,"45K - 75K",N433&lt;100000,"75K - 100K",N433&gt;=100000,"Over 100K")</f>
        <v>Under 45K</v>
      </c>
      <c r="P433" s="2" t="s">
        <v>165</v>
      </c>
    </row>
    <row r="434" spans="1:16">
      <c r="A434" s="2" t="s">
        <v>904</v>
      </c>
      <c r="B434" s="2" t="s">
        <v>905</v>
      </c>
      <c r="C434" s="2" t="s">
        <v>875</v>
      </c>
      <c r="D434" s="2" t="s">
        <v>19</v>
      </c>
      <c r="E434" s="2">
        <v>-1.738612</v>
      </c>
      <c r="F434" s="3">
        <v>477.7</v>
      </c>
      <c r="G434" s="3">
        <v>478.6</v>
      </c>
      <c r="H434" s="3">
        <v>0.3</v>
      </c>
      <c r="I434" s="3">
        <v>0.3</v>
      </c>
      <c r="J434" s="3">
        <v>0.9</v>
      </c>
      <c r="K434" s="3">
        <v>0.2</v>
      </c>
      <c r="L434" s="3">
        <v>0.6</v>
      </c>
      <c r="M434" s="3">
        <v>76.8</v>
      </c>
      <c r="N434" s="4">
        <v>33670</v>
      </c>
      <c r="O434" s="4" t="str" cm="1">
        <f t="array" ref="O434">_xlfn.IFS(N434&lt;45000,"Under 45K",N434&lt;75000,"45K - 75K",N434&lt;100000,"75K - 100K",N434&gt;=100000,"Over 100K")</f>
        <v>Under 45K</v>
      </c>
      <c r="P434" s="2" t="s">
        <v>165</v>
      </c>
    </row>
    <row r="435" spans="1:16">
      <c r="A435" s="2" t="s">
        <v>906</v>
      </c>
      <c r="B435" s="2" t="s">
        <v>907</v>
      </c>
      <c r="C435" s="2" t="s">
        <v>875</v>
      </c>
      <c r="D435" s="2" t="s">
        <v>19</v>
      </c>
      <c r="E435" s="2">
        <v>-1.9270780000000001</v>
      </c>
      <c r="F435" s="3">
        <v>527.4</v>
      </c>
      <c r="G435" s="3">
        <v>560.6</v>
      </c>
      <c r="H435" s="3">
        <v>0.3</v>
      </c>
      <c r="I435" s="3">
        <v>0.3</v>
      </c>
      <c r="J435" s="3">
        <v>33.1</v>
      </c>
      <c r="K435" s="3">
        <v>6.3</v>
      </c>
      <c r="L435" s="3">
        <v>0.2</v>
      </c>
      <c r="M435" s="3">
        <v>99.6</v>
      </c>
      <c r="N435" s="4">
        <v>32670</v>
      </c>
      <c r="O435" s="4" t="str" cm="1">
        <f t="array" ref="O435">_xlfn.IFS(N435&lt;45000,"Under 45K",N435&lt;75000,"45K - 75K",N435&lt;100000,"75K - 100K",N435&gt;=100000,"Over 100K")</f>
        <v>Under 45K</v>
      </c>
      <c r="P435" s="2" t="s">
        <v>165</v>
      </c>
    </row>
    <row r="436" spans="1:16">
      <c r="A436" s="2" t="s">
        <v>908</v>
      </c>
      <c r="B436" s="2" t="s">
        <v>909</v>
      </c>
      <c r="C436" s="2" t="s">
        <v>910</v>
      </c>
      <c r="D436" s="2" t="s">
        <v>19</v>
      </c>
      <c r="E436" s="15">
        <v>0</v>
      </c>
      <c r="F436" s="3">
        <v>18.100000000000001</v>
      </c>
      <c r="G436" s="3">
        <v>18.5</v>
      </c>
      <c r="H436" s="3">
        <v>0</v>
      </c>
      <c r="I436" s="3">
        <v>0</v>
      </c>
      <c r="J436" s="3">
        <v>0.5</v>
      </c>
      <c r="K436" s="3">
        <v>2.5</v>
      </c>
      <c r="L436" s="3">
        <v>6.8</v>
      </c>
      <c r="M436" s="3">
        <v>2.6</v>
      </c>
      <c r="N436" s="4">
        <v>42360</v>
      </c>
      <c r="O436" s="4" t="str" cm="1">
        <f t="array" ref="O436">_xlfn.IFS(N436&lt;45000,"Under 45K",N436&lt;75000,"45K - 75K",N436&lt;100000,"75K - 100K",N436&gt;=100000,"Over 100K")</f>
        <v>Under 45K</v>
      </c>
      <c r="P436" s="2" t="s">
        <v>165</v>
      </c>
    </row>
    <row r="437" spans="1:16">
      <c r="A437" s="2" t="s">
        <v>911</v>
      </c>
      <c r="B437" s="2" t="s">
        <v>912</v>
      </c>
      <c r="C437" s="2" t="s">
        <v>910</v>
      </c>
      <c r="D437" s="2" t="s">
        <v>19</v>
      </c>
      <c r="E437" s="15">
        <v>0</v>
      </c>
      <c r="F437" s="3">
        <v>14.1</v>
      </c>
      <c r="G437" s="3">
        <v>14.5</v>
      </c>
      <c r="H437" s="3">
        <v>0</v>
      </c>
      <c r="I437" s="3">
        <v>0</v>
      </c>
      <c r="J437" s="3">
        <v>0.3</v>
      </c>
      <c r="K437" s="3">
        <v>2.4</v>
      </c>
      <c r="L437" s="3">
        <v>1.4</v>
      </c>
      <c r="M437" s="3">
        <v>1.9</v>
      </c>
      <c r="N437" s="4">
        <v>43410</v>
      </c>
      <c r="O437" s="4" t="str" cm="1">
        <f t="array" ref="O437">_xlfn.IFS(N437&lt;45000,"Under 45K",N437&lt;75000,"45K - 75K",N437&lt;100000,"75K - 100K",N437&gt;=100000,"Over 100K")</f>
        <v>Under 45K</v>
      </c>
      <c r="P437" s="2" t="s">
        <v>165</v>
      </c>
    </row>
    <row r="438" spans="1:16">
      <c r="A438" s="2" t="s">
        <v>913</v>
      </c>
      <c r="B438" s="2" t="s">
        <v>914</v>
      </c>
      <c r="C438" s="2" t="s">
        <v>910</v>
      </c>
      <c r="D438" s="2" t="s">
        <v>19</v>
      </c>
      <c r="E438" s="2">
        <v>-0.55488709999999997</v>
      </c>
      <c r="F438" s="3">
        <v>224.7</v>
      </c>
      <c r="G438" s="3">
        <v>230</v>
      </c>
      <c r="H438" s="3">
        <v>0.1</v>
      </c>
      <c r="I438" s="3">
        <v>0.1</v>
      </c>
      <c r="J438" s="3">
        <v>5.2</v>
      </c>
      <c r="K438" s="3">
        <v>2.2999999999999998</v>
      </c>
      <c r="L438" s="3">
        <v>43.9</v>
      </c>
      <c r="M438" s="3">
        <v>23.2</v>
      </c>
      <c r="N438" s="4">
        <v>56170</v>
      </c>
      <c r="O438" s="4" t="str" cm="1">
        <f t="array" ref="O438">_xlfn.IFS(N438&lt;45000,"Under 45K",N438&lt;75000,"45K - 75K",N438&lt;100000,"75K - 100K",N438&gt;=100000,"Over 100K")</f>
        <v>45K - 75K</v>
      </c>
      <c r="P438" s="2" t="s">
        <v>47</v>
      </c>
    </row>
    <row r="439" spans="1:16">
      <c r="A439" s="2" t="s">
        <v>915</v>
      </c>
      <c r="B439" s="2" t="s">
        <v>916</v>
      </c>
      <c r="C439" s="2" t="s">
        <v>910</v>
      </c>
      <c r="D439" s="2" t="s">
        <v>19</v>
      </c>
      <c r="E439" s="2">
        <v>-0.58541279999999996</v>
      </c>
      <c r="F439" s="3">
        <v>269.8</v>
      </c>
      <c r="G439" s="3">
        <v>276.39999999999998</v>
      </c>
      <c r="H439" s="3">
        <v>0.2</v>
      </c>
      <c r="I439" s="3">
        <v>0.2</v>
      </c>
      <c r="J439" s="3">
        <v>6.7</v>
      </c>
      <c r="K439" s="3">
        <v>2.5</v>
      </c>
      <c r="L439" s="3">
        <v>32.6</v>
      </c>
      <c r="M439" s="3">
        <v>33</v>
      </c>
      <c r="N439" s="4">
        <v>47520</v>
      </c>
      <c r="O439" s="4" t="str" cm="1">
        <f t="array" ref="O439">_xlfn.IFS(N439&lt;45000,"Under 45K",N439&lt;75000,"45K - 75K",N439&lt;100000,"75K - 100K",N439&gt;=100000,"Over 100K")</f>
        <v>45K - 75K</v>
      </c>
      <c r="P439" s="2" t="s">
        <v>47</v>
      </c>
    </row>
    <row r="440" spans="1:16">
      <c r="A440" s="2" t="s">
        <v>917</v>
      </c>
      <c r="B440" s="2" t="s">
        <v>918</v>
      </c>
      <c r="C440" s="2" t="s">
        <v>910</v>
      </c>
      <c r="D440" s="2" t="s">
        <v>19</v>
      </c>
      <c r="E440" s="2">
        <v>-0.7255374</v>
      </c>
      <c r="F440" s="3">
        <v>102.4</v>
      </c>
      <c r="G440" s="3">
        <v>107.5</v>
      </c>
      <c r="H440" s="3">
        <v>0.1</v>
      </c>
      <c r="I440" s="3">
        <v>0.1</v>
      </c>
      <c r="J440" s="3">
        <v>5.0999999999999996</v>
      </c>
      <c r="K440" s="3">
        <v>4.9000000000000004</v>
      </c>
      <c r="L440" s="3">
        <v>0.9</v>
      </c>
      <c r="M440" s="3">
        <v>13.4</v>
      </c>
      <c r="N440" s="4">
        <v>44730</v>
      </c>
      <c r="O440" s="4" t="str" cm="1">
        <f t="array" ref="O440">_xlfn.IFS(N440&lt;45000,"Under 45K",N440&lt;75000,"45K - 75K",N440&lt;100000,"75K - 100K",N440&gt;=100000,"Over 100K")</f>
        <v>Under 45K</v>
      </c>
      <c r="P440" s="2" t="s">
        <v>47</v>
      </c>
    </row>
    <row r="441" spans="1:16">
      <c r="A441" s="2" t="s">
        <v>919</v>
      </c>
      <c r="B441" s="2" t="s">
        <v>920</v>
      </c>
      <c r="C441" s="2" t="s">
        <v>910</v>
      </c>
      <c r="D441" s="2" t="s">
        <v>19</v>
      </c>
      <c r="E441" s="2">
        <v>-0.88479350000000001</v>
      </c>
      <c r="F441" s="3">
        <v>29.6</v>
      </c>
      <c r="G441" s="3">
        <v>30.7</v>
      </c>
      <c r="H441" s="3">
        <v>0</v>
      </c>
      <c r="I441" s="3">
        <v>0</v>
      </c>
      <c r="J441" s="3">
        <v>1.1000000000000001</v>
      </c>
      <c r="K441" s="3">
        <v>3.8</v>
      </c>
      <c r="L441" s="3">
        <v>1.9</v>
      </c>
      <c r="M441" s="3">
        <v>4.0999999999999996</v>
      </c>
      <c r="N441" s="4">
        <v>45200</v>
      </c>
      <c r="O441" s="4" t="str" cm="1">
        <f t="array" ref="O441">_xlfn.IFS(N441&lt;45000,"Under 45K",N441&lt;75000,"45K - 75K",N441&lt;100000,"75K - 100K",N441&gt;=100000,"Over 100K")</f>
        <v>45K - 75K</v>
      </c>
      <c r="P441" s="2" t="s">
        <v>47</v>
      </c>
    </row>
    <row r="442" spans="1:16">
      <c r="A442" s="2" t="s">
        <v>921</v>
      </c>
      <c r="B442" s="2" t="s">
        <v>922</v>
      </c>
      <c r="C442" s="2" t="s">
        <v>910</v>
      </c>
      <c r="D442" s="2" t="s">
        <v>19</v>
      </c>
      <c r="E442" s="2">
        <v>-1.4362010000000001</v>
      </c>
      <c r="F442" s="3">
        <v>2447.6999999999998</v>
      </c>
      <c r="G442" s="3">
        <v>2495.5</v>
      </c>
      <c r="H442" s="3">
        <v>1.4</v>
      </c>
      <c r="I442" s="3">
        <v>1.4</v>
      </c>
      <c r="J442" s="3">
        <v>47.8</v>
      </c>
      <c r="K442" s="3">
        <v>2</v>
      </c>
      <c r="L442" s="3">
        <v>5.5</v>
      </c>
      <c r="M442" s="3">
        <v>351.3</v>
      </c>
      <c r="N442" s="4">
        <v>35930</v>
      </c>
      <c r="O442" s="4" t="str" cm="1">
        <f t="array" ref="O442">_xlfn.IFS(N442&lt;45000,"Under 45K",N442&lt;75000,"45K - 75K",N442&lt;100000,"75K - 100K",N442&gt;=100000,"Over 100K")</f>
        <v>Under 45K</v>
      </c>
      <c r="P442" s="2" t="s">
        <v>165</v>
      </c>
    </row>
    <row r="443" spans="1:16">
      <c r="A443" s="2" t="s">
        <v>923</v>
      </c>
      <c r="B443" s="2" t="s">
        <v>924</v>
      </c>
      <c r="C443" s="2" t="s">
        <v>910</v>
      </c>
      <c r="D443" s="2" t="s">
        <v>19</v>
      </c>
      <c r="E443" s="2">
        <v>-1.4806569999999999</v>
      </c>
      <c r="F443" s="3">
        <v>1356.8</v>
      </c>
      <c r="G443" s="3">
        <v>1362.8</v>
      </c>
      <c r="H443" s="3">
        <v>0.8</v>
      </c>
      <c r="I443" s="3">
        <v>0.8</v>
      </c>
      <c r="J443" s="3">
        <v>6</v>
      </c>
      <c r="K443" s="3">
        <v>0.4</v>
      </c>
      <c r="L443" s="3">
        <v>12.8</v>
      </c>
      <c r="M443" s="3">
        <v>193.5</v>
      </c>
      <c r="N443" s="4">
        <v>34660</v>
      </c>
      <c r="O443" s="4" t="str" cm="1">
        <f t="array" ref="O443">_xlfn.IFS(N443&lt;45000,"Under 45K",N443&lt;75000,"45K - 75K",N443&lt;100000,"75K - 100K",N443&gt;=100000,"Over 100K")</f>
        <v>Under 45K</v>
      </c>
      <c r="P443" s="2" t="s">
        <v>165</v>
      </c>
    </row>
    <row r="444" spans="1:16">
      <c r="A444" s="2" t="s">
        <v>925</v>
      </c>
      <c r="B444" s="2" t="s">
        <v>926</v>
      </c>
      <c r="C444" s="2" t="s">
        <v>910</v>
      </c>
      <c r="D444" s="2" t="s">
        <v>19</v>
      </c>
      <c r="E444" s="2">
        <v>-1.7270350000000001</v>
      </c>
      <c r="F444" s="3">
        <v>60.1</v>
      </c>
      <c r="G444" s="3">
        <v>62.1</v>
      </c>
      <c r="H444" s="3">
        <v>0</v>
      </c>
      <c r="I444" s="3">
        <v>0</v>
      </c>
      <c r="J444" s="3">
        <v>2</v>
      </c>
      <c r="K444" s="3">
        <v>3.3</v>
      </c>
      <c r="L444" s="3">
        <v>16.5</v>
      </c>
      <c r="M444" s="3">
        <v>7.4</v>
      </c>
      <c r="N444" s="4">
        <v>50430</v>
      </c>
      <c r="O444" s="4" t="str" cm="1">
        <f t="array" ref="O444">_xlfn.IFS(N444&lt;45000,"Under 45K",N444&lt;75000,"45K - 75K",N444&lt;100000,"75K - 100K",N444&gt;=100000,"Over 100K")</f>
        <v>45K - 75K</v>
      </c>
      <c r="P444" s="2" t="s">
        <v>47</v>
      </c>
    </row>
    <row r="445" spans="1:16">
      <c r="A445" s="2" t="s">
        <v>927</v>
      </c>
      <c r="B445" s="2" t="s">
        <v>928</v>
      </c>
      <c r="C445" s="2" t="s">
        <v>910</v>
      </c>
      <c r="D445" s="2" t="s">
        <v>19</v>
      </c>
      <c r="E445" s="2">
        <v>-1.8242929999999999</v>
      </c>
      <c r="F445" s="3">
        <v>1192.5</v>
      </c>
      <c r="G445" s="3">
        <v>1235</v>
      </c>
      <c r="H445" s="3">
        <v>0.7</v>
      </c>
      <c r="I445" s="3">
        <v>0.7</v>
      </c>
      <c r="J445" s="3">
        <v>42.4</v>
      </c>
      <c r="K445" s="3">
        <v>3.6</v>
      </c>
      <c r="L445" s="3">
        <v>19.7</v>
      </c>
      <c r="M445" s="3">
        <v>158.19999999999999</v>
      </c>
      <c r="N445" s="4">
        <v>38090</v>
      </c>
      <c r="O445" s="4" t="str" cm="1">
        <f t="array" ref="O445">_xlfn.IFS(N445&lt;45000,"Under 45K",N445&lt;75000,"45K - 75K",N445&lt;100000,"75K - 100K",N445&gt;=100000,"Over 100K")</f>
        <v>Under 45K</v>
      </c>
      <c r="P445" s="2" t="s">
        <v>165</v>
      </c>
    </row>
    <row r="446" spans="1:16">
      <c r="A446" s="2" t="s">
        <v>929</v>
      </c>
      <c r="B446" s="2" t="s">
        <v>930</v>
      </c>
      <c r="C446" s="2" t="s">
        <v>931</v>
      </c>
      <c r="D446" s="2" t="s">
        <v>19</v>
      </c>
      <c r="E446" s="2">
        <v>0.85583200000000004</v>
      </c>
      <c r="F446" s="3">
        <v>45.6</v>
      </c>
      <c r="G446" s="3">
        <v>46.7</v>
      </c>
      <c r="H446" s="3">
        <v>0</v>
      </c>
      <c r="I446" s="3">
        <v>0</v>
      </c>
      <c r="J446" s="3">
        <v>1.1000000000000001</v>
      </c>
      <c r="K446" s="3">
        <v>2.2999999999999998</v>
      </c>
      <c r="L446" s="3" t="s">
        <v>30</v>
      </c>
      <c r="M446" s="3">
        <v>6.8</v>
      </c>
      <c r="N446" s="4">
        <v>37320</v>
      </c>
      <c r="O446" s="4" t="str" cm="1">
        <f t="array" ref="O446">_xlfn.IFS(N446&lt;45000,"Under 45K",N446&lt;75000,"45K - 75K",N446&lt;100000,"75K - 100K",N446&gt;=100000,"Over 100K")</f>
        <v>Under 45K</v>
      </c>
      <c r="P446" s="2" t="s">
        <v>47</v>
      </c>
    </row>
    <row r="447" spans="1:16">
      <c r="A447" s="2" t="s">
        <v>932</v>
      </c>
      <c r="B447" s="2" t="s">
        <v>933</v>
      </c>
      <c r="C447" s="2" t="s">
        <v>931</v>
      </c>
      <c r="D447" s="2" t="s">
        <v>19</v>
      </c>
      <c r="E447" s="2">
        <v>0.47461189999999998</v>
      </c>
      <c r="F447" s="3">
        <v>91.2</v>
      </c>
      <c r="G447" s="3">
        <v>94.7</v>
      </c>
      <c r="H447" s="3">
        <v>0.1</v>
      </c>
      <c r="I447" s="3">
        <v>0.1</v>
      </c>
      <c r="J447" s="3">
        <v>3.5</v>
      </c>
      <c r="K447" s="3">
        <v>3.8</v>
      </c>
      <c r="L447" s="3">
        <v>2.2000000000000002</v>
      </c>
      <c r="M447" s="3">
        <v>17.399999999999999</v>
      </c>
      <c r="N447" s="4">
        <v>39180</v>
      </c>
      <c r="O447" s="4" t="str" cm="1">
        <f t="array" ref="O447">_xlfn.IFS(N447&lt;45000,"Under 45K",N447&lt;75000,"45K - 75K",N447&lt;100000,"75K - 100K",N447&gt;=100000,"Over 100K")</f>
        <v>Under 45K</v>
      </c>
      <c r="P447" s="2" t="s">
        <v>47</v>
      </c>
    </row>
    <row r="448" spans="1:16">
      <c r="A448" s="2" t="s">
        <v>934</v>
      </c>
      <c r="B448" s="2" t="s">
        <v>935</v>
      </c>
      <c r="C448" s="2" t="s">
        <v>931</v>
      </c>
      <c r="D448" s="2" t="s">
        <v>19</v>
      </c>
      <c r="E448" s="2">
        <v>0.4652752</v>
      </c>
      <c r="F448" s="3">
        <v>8.1999999999999993</v>
      </c>
      <c r="G448" s="3">
        <v>7.7</v>
      </c>
      <c r="H448" s="3">
        <v>0</v>
      </c>
      <c r="I448" s="3">
        <v>0</v>
      </c>
      <c r="J448" s="3">
        <v>-0.5</v>
      </c>
      <c r="K448" s="3">
        <v>-6.1</v>
      </c>
      <c r="L448" s="3">
        <v>4.4000000000000004</v>
      </c>
      <c r="M448" s="3">
        <v>1.2</v>
      </c>
      <c r="N448" s="4">
        <v>30460</v>
      </c>
      <c r="O448" s="4" t="str" cm="1">
        <f t="array" ref="O448">_xlfn.IFS(N448&lt;45000,"Under 45K",N448&lt;75000,"45K - 75K",N448&lt;100000,"75K - 100K",N448&gt;=100000,"Over 100K")</f>
        <v>Under 45K</v>
      </c>
      <c r="P448" s="2" t="s">
        <v>47</v>
      </c>
    </row>
    <row r="449" spans="1:16">
      <c r="A449" s="2" t="s">
        <v>936</v>
      </c>
      <c r="B449" s="2" t="s">
        <v>937</v>
      </c>
      <c r="C449" s="2" t="s">
        <v>931</v>
      </c>
      <c r="D449" s="2" t="s">
        <v>19</v>
      </c>
      <c r="E449" s="2">
        <v>6.0583199999999997E-2</v>
      </c>
      <c r="F449" s="3">
        <v>88.7</v>
      </c>
      <c r="G449" s="3">
        <v>88.1</v>
      </c>
      <c r="H449" s="3">
        <v>0.1</v>
      </c>
      <c r="I449" s="3">
        <v>0.1</v>
      </c>
      <c r="J449" s="3">
        <v>-0.6</v>
      </c>
      <c r="K449" s="3">
        <v>-0.6</v>
      </c>
      <c r="L449" s="3">
        <v>3.9</v>
      </c>
      <c r="M449" s="3">
        <v>14.1</v>
      </c>
      <c r="N449" s="4">
        <v>33280</v>
      </c>
      <c r="O449" s="4" t="str" cm="1">
        <f t="array" ref="O449">_xlfn.IFS(N449&lt;45000,"Under 45K",N449&lt;75000,"45K - 75K",N449&lt;100000,"75K - 100K",N449&gt;=100000,"Over 100K")</f>
        <v>Under 45K</v>
      </c>
      <c r="P449" s="2" t="s">
        <v>47</v>
      </c>
    </row>
    <row r="450" spans="1:16">
      <c r="A450" s="2" t="s">
        <v>938</v>
      </c>
      <c r="B450" s="2" t="s">
        <v>939</v>
      </c>
      <c r="C450" s="2" t="s">
        <v>931</v>
      </c>
      <c r="D450" s="2" t="s">
        <v>19</v>
      </c>
      <c r="E450" s="2">
        <v>3.3512399999999998E-2</v>
      </c>
      <c r="F450" s="3">
        <v>210.1</v>
      </c>
      <c r="G450" s="3">
        <v>224.8</v>
      </c>
      <c r="H450" s="3">
        <v>0.1</v>
      </c>
      <c r="I450" s="3">
        <v>0.1</v>
      </c>
      <c r="J450" s="3">
        <v>14.7</v>
      </c>
      <c r="K450" s="3">
        <v>7</v>
      </c>
      <c r="L450" s="3">
        <v>28</v>
      </c>
      <c r="M450" s="3">
        <v>24.8</v>
      </c>
      <c r="N450" s="4">
        <v>34660</v>
      </c>
      <c r="O450" s="4" t="str" cm="1">
        <f t="array" ref="O450">_xlfn.IFS(N450&lt;45000,"Under 45K",N450&lt;75000,"45K - 75K",N450&lt;100000,"75K - 100K",N450&gt;=100000,"Over 100K")</f>
        <v>Under 45K</v>
      </c>
      <c r="P450" s="2" t="s">
        <v>152</v>
      </c>
    </row>
    <row r="451" spans="1:16">
      <c r="A451" s="2" t="s">
        <v>940</v>
      </c>
      <c r="B451" s="2" t="s">
        <v>941</v>
      </c>
      <c r="C451" s="2" t="s">
        <v>931</v>
      </c>
      <c r="D451" s="2" t="s">
        <v>19</v>
      </c>
      <c r="E451" s="15">
        <v>0</v>
      </c>
      <c r="F451" s="3">
        <v>32.5</v>
      </c>
      <c r="G451" s="3">
        <v>33.1</v>
      </c>
      <c r="H451" s="3">
        <v>0</v>
      </c>
      <c r="I451" s="3">
        <v>0</v>
      </c>
      <c r="J451" s="3">
        <v>0.6</v>
      </c>
      <c r="K451" s="3">
        <v>2</v>
      </c>
      <c r="L451" s="3">
        <v>19.100000000000001</v>
      </c>
      <c r="M451" s="3">
        <v>3.3</v>
      </c>
      <c r="N451" s="4">
        <v>61590</v>
      </c>
      <c r="O451" s="4" t="str" cm="1">
        <f t="array" ref="O451">_xlfn.IFS(N451&lt;45000,"Under 45K",N451&lt;75000,"45K - 75K",N451&lt;100000,"75K - 100K",N451&gt;=100000,"Over 100K")</f>
        <v>45K - 75K</v>
      </c>
      <c r="P451" s="2" t="s">
        <v>47</v>
      </c>
    </row>
    <row r="452" spans="1:16">
      <c r="A452" s="2" t="s">
        <v>942</v>
      </c>
      <c r="B452" s="2" t="s">
        <v>943</v>
      </c>
      <c r="C452" s="2" t="s">
        <v>931</v>
      </c>
      <c r="D452" s="2" t="s">
        <v>19</v>
      </c>
      <c r="E452" s="15">
        <v>0</v>
      </c>
      <c r="F452" s="3">
        <v>123.3</v>
      </c>
      <c r="G452" s="3">
        <v>131.1</v>
      </c>
      <c r="H452" s="3">
        <v>0.1</v>
      </c>
      <c r="I452" s="3">
        <v>0.1</v>
      </c>
      <c r="J452" s="3">
        <v>7.8</v>
      </c>
      <c r="K452" s="3">
        <v>6.3</v>
      </c>
      <c r="L452" s="3">
        <v>21.5</v>
      </c>
      <c r="M452" s="3">
        <v>13.4</v>
      </c>
      <c r="N452" s="4">
        <v>46900</v>
      </c>
      <c r="O452" s="4" t="str" cm="1">
        <f t="array" ref="O452">_xlfn.IFS(N452&lt;45000,"Under 45K",N452&lt;75000,"45K - 75K",N452&lt;100000,"75K - 100K",N452&gt;=100000,"Over 100K")</f>
        <v>45K - 75K</v>
      </c>
      <c r="P452" s="2" t="s">
        <v>47</v>
      </c>
    </row>
    <row r="453" spans="1:16">
      <c r="A453" s="2" t="s">
        <v>944</v>
      </c>
      <c r="B453" s="2" t="s">
        <v>945</v>
      </c>
      <c r="C453" s="2" t="s">
        <v>931</v>
      </c>
      <c r="D453" s="2" t="s">
        <v>19</v>
      </c>
      <c r="E453" s="15">
        <v>0</v>
      </c>
      <c r="F453" s="3">
        <v>149.1</v>
      </c>
      <c r="G453" s="3">
        <v>159.1</v>
      </c>
      <c r="H453" s="3">
        <v>0.1</v>
      </c>
      <c r="I453" s="3">
        <v>0.1</v>
      </c>
      <c r="J453" s="3">
        <v>10</v>
      </c>
      <c r="K453" s="3">
        <v>6.7</v>
      </c>
      <c r="L453" s="3">
        <v>24.7</v>
      </c>
      <c r="M453" s="3">
        <v>16.3</v>
      </c>
      <c r="N453" s="4">
        <v>47080</v>
      </c>
      <c r="O453" s="4" t="str" cm="1">
        <f t="array" ref="O453">_xlfn.IFS(N453&lt;45000,"Under 45K",N453&lt;75000,"45K - 75K",N453&lt;100000,"75K - 100K",N453&gt;=100000,"Over 100K")</f>
        <v>45K - 75K</v>
      </c>
      <c r="P453" s="2" t="s">
        <v>47</v>
      </c>
    </row>
    <row r="454" spans="1:16">
      <c r="A454" s="2" t="s">
        <v>946</v>
      </c>
      <c r="B454" s="2" t="s">
        <v>947</v>
      </c>
      <c r="C454" s="2" t="s">
        <v>931</v>
      </c>
      <c r="D454" s="2" t="s">
        <v>19</v>
      </c>
      <c r="E454" s="15">
        <v>0</v>
      </c>
      <c r="F454" s="3">
        <v>16.100000000000001</v>
      </c>
      <c r="G454" s="3">
        <v>16</v>
      </c>
      <c r="H454" s="3">
        <v>0</v>
      </c>
      <c r="I454" s="3">
        <v>0</v>
      </c>
      <c r="J454" s="3">
        <v>-0.1</v>
      </c>
      <c r="K454" s="3">
        <v>-0.6</v>
      </c>
      <c r="L454" s="3">
        <v>3.9</v>
      </c>
      <c r="M454" s="3">
        <v>2.6</v>
      </c>
      <c r="N454" s="4">
        <v>34530</v>
      </c>
      <c r="O454" s="4" t="str" cm="1">
        <f t="array" ref="O454">_xlfn.IFS(N454&lt;45000,"Under 45K",N454&lt;75000,"45K - 75K",N454&lt;100000,"75K - 100K",N454&gt;=100000,"Over 100K")</f>
        <v>Under 45K</v>
      </c>
      <c r="P454" s="2" t="s">
        <v>47</v>
      </c>
    </row>
    <row r="455" spans="1:16">
      <c r="A455" s="2" t="s">
        <v>948</v>
      </c>
      <c r="B455" s="2" t="s">
        <v>949</v>
      </c>
      <c r="C455" s="2" t="s">
        <v>931</v>
      </c>
      <c r="D455" s="2" t="s">
        <v>19</v>
      </c>
      <c r="E455" s="15">
        <v>0</v>
      </c>
      <c r="F455" s="3">
        <v>8.5</v>
      </c>
      <c r="G455" s="3">
        <v>8.8000000000000007</v>
      </c>
      <c r="H455" s="3">
        <v>0</v>
      </c>
      <c r="I455" s="3">
        <v>0</v>
      </c>
      <c r="J455" s="3">
        <v>0.3</v>
      </c>
      <c r="K455" s="3">
        <v>3.6</v>
      </c>
      <c r="L455" s="3">
        <v>1.1000000000000001</v>
      </c>
      <c r="M455" s="3">
        <v>2.2000000000000002</v>
      </c>
      <c r="N455" s="4">
        <v>34550</v>
      </c>
      <c r="O455" s="4" t="str" cm="1">
        <f t="array" ref="O455">_xlfn.IFS(N455&lt;45000,"Under 45K",N455&lt;75000,"45K - 75K",N455&lt;100000,"75K - 100K",N455&gt;=100000,"Over 100K")</f>
        <v>Under 45K</v>
      </c>
      <c r="P455" s="2" t="s">
        <v>47</v>
      </c>
    </row>
    <row r="456" spans="1:16">
      <c r="A456" s="2" t="s">
        <v>950</v>
      </c>
      <c r="B456" s="2" t="s">
        <v>951</v>
      </c>
      <c r="C456" s="2" t="s">
        <v>931</v>
      </c>
      <c r="D456" s="2" t="s">
        <v>19</v>
      </c>
      <c r="E456" s="15">
        <v>0</v>
      </c>
      <c r="F456" s="3">
        <v>3.1</v>
      </c>
      <c r="G456" s="3">
        <v>3.2</v>
      </c>
      <c r="H456" s="3">
        <v>0</v>
      </c>
      <c r="I456" s="3">
        <v>0</v>
      </c>
      <c r="J456" s="3">
        <v>0.1</v>
      </c>
      <c r="K456" s="3">
        <v>3.3</v>
      </c>
      <c r="L456" s="3">
        <v>4.8</v>
      </c>
      <c r="M456" s="3">
        <v>0.6</v>
      </c>
      <c r="N456" s="4">
        <v>42880</v>
      </c>
      <c r="O456" s="4" t="str" cm="1">
        <f t="array" ref="O456">_xlfn.IFS(N456&lt;45000,"Under 45K",N456&lt;75000,"45K - 75K",N456&lt;100000,"75K - 100K",N456&gt;=100000,"Over 100K")</f>
        <v>Under 45K</v>
      </c>
      <c r="P456" s="2" t="s">
        <v>47</v>
      </c>
    </row>
    <row r="457" spans="1:16">
      <c r="A457" s="2" t="s">
        <v>952</v>
      </c>
      <c r="B457" s="2" t="s">
        <v>953</v>
      </c>
      <c r="C457" s="2" t="s">
        <v>931</v>
      </c>
      <c r="D457" s="2" t="s">
        <v>19</v>
      </c>
      <c r="E457" s="15">
        <v>0</v>
      </c>
      <c r="F457" s="3">
        <v>55.8</v>
      </c>
      <c r="G457" s="3">
        <v>60.3</v>
      </c>
      <c r="H457" s="3">
        <v>0</v>
      </c>
      <c r="I457" s="3">
        <v>0</v>
      </c>
      <c r="J457" s="3">
        <v>4.5</v>
      </c>
      <c r="K457" s="3">
        <v>8.1</v>
      </c>
      <c r="L457" s="3">
        <v>9.8000000000000007</v>
      </c>
      <c r="M457" s="3">
        <v>13</v>
      </c>
      <c r="N457" s="4">
        <v>36660</v>
      </c>
      <c r="O457" s="4" t="str" cm="1">
        <f t="array" ref="O457">_xlfn.IFS(N457&lt;45000,"Under 45K",N457&lt;75000,"45K - 75K",N457&lt;100000,"75K - 100K",N457&gt;=100000,"Over 100K")</f>
        <v>Under 45K</v>
      </c>
      <c r="P457" s="2" t="s">
        <v>47</v>
      </c>
    </row>
    <row r="458" spans="1:16">
      <c r="A458" s="2" t="s">
        <v>954</v>
      </c>
      <c r="B458" s="2" t="s">
        <v>955</v>
      </c>
      <c r="C458" s="2" t="s">
        <v>931</v>
      </c>
      <c r="D458" s="2" t="s">
        <v>19</v>
      </c>
      <c r="E458" s="15">
        <v>0</v>
      </c>
      <c r="F458" s="3">
        <v>94.4</v>
      </c>
      <c r="G458" s="3">
        <v>100.4</v>
      </c>
      <c r="H458" s="3">
        <v>0.1</v>
      </c>
      <c r="I458" s="3">
        <v>0.1</v>
      </c>
      <c r="J458" s="3">
        <v>6</v>
      </c>
      <c r="K458" s="3">
        <v>6.4</v>
      </c>
      <c r="L458" s="3">
        <v>26.1</v>
      </c>
      <c r="M458" s="3">
        <v>16.100000000000001</v>
      </c>
      <c r="N458" s="4">
        <v>37900</v>
      </c>
      <c r="O458" s="4" t="str" cm="1">
        <f t="array" ref="O458">_xlfn.IFS(N458&lt;45000,"Under 45K",N458&lt;75000,"45K - 75K",N458&lt;100000,"75K - 100K",N458&gt;=100000,"Over 100K")</f>
        <v>Under 45K</v>
      </c>
      <c r="P458" s="2" t="s">
        <v>47</v>
      </c>
    </row>
    <row r="459" spans="1:16">
      <c r="A459" s="2" t="s">
        <v>956</v>
      </c>
      <c r="B459" s="2" t="s">
        <v>957</v>
      </c>
      <c r="C459" s="2" t="s">
        <v>931</v>
      </c>
      <c r="D459" s="2" t="s">
        <v>19</v>
      </c>
      <c r="E459" s="2">
        <v>-0.19037589999999999</v>
      </c>
      <c r="F459" s="3">
        <v>27.5</v>
      </c>
      <c r="G459" s="3">
        <v>28.4</v>
      </c>
      <c r="H459" s="3">
        <v>0</v>
      </c>
      <c r="I459" s="3">
        <v>0</v>
      </c>
      <c r="J459" s="3">
        <v>0.8</v>
      </c>
      <c r="K459" s="3">
        <v>3.1</v>
      </c>
      <c r="L459" s="3">
        <v>5</v>
      </c>
      <c r="M459" s="3">
        <v>3.2</v>
      </c>
      <c r="N459" s="4">
        <v>49800</v>
      </c>
      <c r="O459" s="4" t="str" cm="1">
        <f t="array" ref="O459">_xlfn.IFS(N459&lt;45000,"Under 45K",N459&lt;75000,"45K - 75K",N459&lt;100000,"75K - 100K",N459&gt;=100000,"Over 100K")</f>
        <v>45K - 75K</v>
      </c>
      <c r="P459" s="2" t="s">
        <v>92</v>
      </c>
    </row>
    <row r="460" spans="1:16">
      <c r="A460" s="2" t="s">
        <v>958</v>
      </c>
      <c r="B460" s="2" t="s">
        <v>959</v>
      </c>
      <c r="C460" s="2" t="s">
        <v>931</v>
      </c>
      <c r="D460" s="2" t="s">
        <v>19</v>
      </c>
      <c r="E460" s="2">
        <v>-0.2420959</v>
      </c>
      <c r="F460" s="3">
        <v>121.7</v>
      </c>
      <c r="G460" s="3">
        <v>123.1</v>
      </c>
      <c r="H460" s="3">
        <v>0.1</v>
      </c>
      <c r="I460" s="3">
        <v>0.1</v>
      </c>
      <c r="J460" s="3">
        <v>1.4</v>
      </c>
      <c r="K460" s="3">
        <v>1.2</v>
      </c>
      <c r="L460" s="3" t="s">
        <v>30</v>
      </c>
      <c r="M460" s="3">
        <v>30.8</v>
      </c>
      <c r="N460" s="4">
        <v>31150</v>
      </c>
      <c r="O460" s="4" t="str" cm="1">
        <f t="array" ref="O460">_xlfn.IFS(N460&lt;45000,"Under 45K",N460&lt;75000,"45K - 75K",N460&lt;100000,"75K - 100K",N460&gt;=100000,"Over 100K")</f>
        <v>Under 45K</v>
      </c>
      <c r="P460" s="2" t="s">
        <v>165</v>
      </c>
    </row>
    <row r="461" spans="1:16">
      <c r="A461" s="2" t="s">
        <v>960</v>
      </c>
      <c r="B461" s="2" t="s">
        <v>961</v>
      </c>
      <c r="C461" s="2" t="s">
        <v>931</v>
      </c>
      <c r="D461" s="2" t="s">
        <v>19</v>
      </c>
      <c r="E461" s="2">
        <v>-0.24411540000000001</v>
      </c>
      <c r="F461" s="3">
        <v>327.7</v>
      </c>
      <c r="G461" s="3">
        <v>341.1</v>
      </c>
      <c r="H461" s="3">
        <v>0.2</v>
      </c>
      <c r="I461" s="3">
        <v>0.2</v>
      </c>
      <c r="J461" s="3">
        <v>13.4</v>
      </c>
      <c r="K461" s="3">
        <v>4.0999999999999996</v>
      </c>
      <c r="L461" s="3">
        <v>0.4</v>
      </c>
      <c r="M461" s="3">
        <v>68.099999999999994</v>
      </c>
      <c r="N461" s="4">
        <v>35380</v>
      </c>
      <c r="O461" s="4" t="str" cm="1">
        <f t="array" ref="O461">_xlfn.IFS(N461&lt;45000,"Under 45K",N461&lt;75000,"45K - 75K",N461&lt;100000,"75K - 100K",N461&gt;=100000,"Over 100K")</f>
        <v>Under 45K</v>
      </c>
      <c r="P461" s="2" t="s">
        <v>47</v>
      </c>
    </row>
    <row r="462" spans="1:16">
      <c r="A462" s="2" t="s">
        <v>962</v>
      </c>
      <c r="B462" s="2" t="s">
        <v>963</v>
      </c>
      <c r="C462" s="2" t="s">
        <v>931</v>
      </c>
      <c r="D462" s="2" t="s">
        <v>19</v>
      </c>
      <c r="E462" s="2">
        <v>-0.26283960000000001</v>
      </c>
      <c r="F462" s="3">
        <v>97.4</v>
      </c>
      <c r="G462" s="3">
        <v>103.9</v>
      </c>
      <c r="H462" s="3">
        <v>0.1</v>
      </c>
      <c r="I462" s="3">
        <v>0.1</v>
      </c>
      <c r="J462" s="3">
        <v>6.6</v>
      </c>
      <c r="K462" s="3">
        <v>6.7</v>
      </c>
      <c r="L462" s="3">
        <v>26.4</v>
      </c>
      <c r="M462" s="3">
        <v>14.5</v>
      </c>
      <c r="N462" s="4">
        <v>41560</v>
      </c>
      <c r="O462" s="4" t="str" cm="1">
        <f t="array" ref="O462">_xlfn.IFS(N462&lt;45000,"Under 45K",N462&lt;75000,"45K - 75K",N462&lt;100000,"75K - 100K",N462&gt;=100000,"Over 100K")</f>
        <v>Under 45K</v>
      </c>
      <c r="P462" s="2" t="s">
        <v>152</v>
      </c>
    </row>
    <row r="463" spans="1:16">
      <c r="A463" s="2" t="s">
        <v>964</v>
      </c>
      <c r="B463" s="2" t="s">
        <v>965</v>
      </c>
      <c r="C463" s="2" t="s">
        <v>931</v>
      </c>
      <c r="D463" s="2" t="s">
        <v>19</v>
      </c>
      <c r="E463" s="2">
        <v>-0.34543760000000001</v>
      </c>
      <c r="F463" s="3">
        <v>15.6</v>
      </c>
      <c r="G463" s="3">
        <v>16.600000000000001</v>
      </c>
      <c r="H463" s="3">
        <v>0</v>
      </c>
      <c r="I463" s="3">
        <v>0</v>
      </c>
      <c r="J463" s="3">
        <v>1</v>
      </c>
      <c r="K463" s="3">
        <v>6.4</v>
      </c>
      <c r="L463" s="3">
        <v>1.2</v>
      </c>
      <c r="M463" s="3">
        <v>4.2</v>
      </c>
      <c r="N463" s="4">
        <v>34800</v>
      </c>
      <c r="O463" s="4" t="str" cm="1">
        <f t="array" ref="O463">_xlfn.IFS(N463&lt;45000,"Under 45K",N463&lt;75000,"45K - 75K",N463&lt;100000,"75K - 100K",N463&gt;=100000,"Over 100K")</f>
        <v>Under 45K</v>
      </c>
      <c r="P463" s="2" t="s">
        <v>47</v>
      </c>
    </row>
    <row r="464" spans="1:16">
      <c r="A464" s="2" t="s">
        <v>966</v>
      </c>
      <c r="B464" s="2" t="s">
        <v>967</v>
      </c>
      <c r="C464" s="2" t="s">
        <v>931</v>
      </c>
      <c r="D464" s="2" t="s">
        <v>19</v>
      </c>
      <c r="E464" s="2">
        <v>-0.37865979999999999</v>
      </c>
      <c r="F464" s="3">
        <v>2</v>
      </c>
      <c r="G464" s="3">
        <v>2</v>
      </c>
      <c r="H464" s="3">
        <v>0</v>
      </c>
      <c r="I464" s="3">
        <v>0</v>
      </c>
      <c r="J464" s="3">
        <v>-0.1</v>
      </c>
      <c r="K464" s="3">
        <v>-3.7</v>
      </c>
      <c r="L464" s="3" t="s">
        <v>30</v>
      </c>
      <c r="M464" s="3">
        <v>0.5</v>
      </c>
      <c r="N464" s="4">
        <v>38180</v>
      </c>
      <c r="O464" s="4" t="str" cm="1">
        <f t="array" ref="O464">_xlfn.IFS(N464&lt;45000,"Under 45K",N464&lt;75000,"45K - 75K",N464&lt;100000,"75K - 100K",N464&gt;=100000,"Over 100K")</f>
        <v>Under 45K</v>
      </c>
      <c r="P464" s="2" t="s">
        <v>165</v>
      </c>
    </row>
    <row r="465" spans="1:16">
      <c r="A465" s="2" t="s">
        <v>968</v>
      </c>
      <c r="B465" s="2" t="s">
        <v>969</v>
      </c>
      <c r="C465" s="2" t="s">
        <v>931</v>
      </c>
      <c r="D465" s="2" t="s">
        <v>19</v>
      </c>
      <c r="E465" s="2">
        <v>-0.38347940000000003</v>
      </c>
      <c r="F465" s="3">
        <v>991.6</v>
      </c>
      <c r="G465" s="3">
        <v>962.4</v>
      </c>
      <c r="H465" s="3">
        <v>0.6</v>
      </c>
      <c r="I465" s="3">
        <v>0.5</v>
      </c>
      <c r="J465" s="3">
        <v>-29.2</v>
      </c>
      <c r="K465" s="3">
        <v>-2.9</v>
      </c>
      <c r="L465" s="3">
        <v>21.2</v>
      </c>
      <c r="M465" s="3">
        <v>160.19999999999999</v>
      </c>
      <c r="N465" s="4">
        <v>32050</v>
      </c>
      <c r="O465" s="4" t="str" cm="1">
        <f t="array" ref="O465">_xlfn.IFS(N465&lt;45000,"Under 45K",N465&lt;75000,"45K - 75K",N465&lt;100000,"75K - 100K",N465&gt;=100000,"Over 100K")</f>
        <v>Under 45K</v>
      </c>
      <c r="P465" s="2" t="s">
        <v>47</v>
      </c>
    </row>
    <row r="466" spans="1:16">
      <c r="A466" s="2" t="s">
        <v>970</v>
      </c>
      <c r="B466" s="2" t="s">
        <v>971</v>
      </c>
      <c r="C466" s="2" t="s">
        <v>931</v>
      </c>
      <c r="D466" s="2" t="s">
        <v>19</v>
      </c>
      <c r="E466" s="2">
        <v>-0.45336080000000001</v>
      </c>
      <c r="F466" s="3">
        <v>6.7</v>
      </c>
      <c r="G466" s="3">
        <v>7.1</v>
      </c>
      <c r="H466" s="3">
        <v>0</v>
      </c>
      <c r="I466" s="3">
        <v>0</v>
      </c>
      <c r="J466" s="3">
        <v>0.4</v>
      </c>
      <c r="K466" s="3">
        <v>5.9</v>
      </c>
      <c r="L466" s="3">
        <v>1.2</v>
      </c>
      <c r="M466" s="3">
        <v>1.8</v>
      </c>
      <c r="N466" s="4">
        <v>54810</v>
      </c>
      <c r="O466" s="4" t="str" cm="1">
        <f t="array" ref="O466">_xlfn.IFS(N466&lt;45000,"Under 45K",N466&lt;75000,"45K - 75K",N466&lt;100000,"75K - 100K",N466&gt;=100000,"Over 100K")</f>
        <v>45K - 75K</v>
      </c>
      <c r="P466" s="2" t="s">
        <v>47</v>
      </c>
    </row>
    <row r="467" spans="1:16">
      <c r="A467" s="2" t="s">
        <v>972</v>
      </c>
      <c r="B467" s="2" t="s">
        <v>973</v>
      </c>
      <c r="C467" s="2" t="s">
        <v>931</v>
      </c>
      <c r="D467" s="2" t="s">
        <v>19</v>
      </c>
      <c r="E467" s="2">
        <v>-0.45961380000000002</v>
      </c>
      <c r="F467" s="3">
        <v>7</v>
      </c>
      <c r="G467" s="3">
        <v>7.6</v>
      </c>
      <c r="H467" s="3">
        <v>0</v>
      </c>
      <c r="I467" s="3">
        <v>0</v>
      </c>
      <c r="J467" s="3">
        <v>0.6</v>
      </c>
      <c r="K467" s="3">
        <v>8.1</v>
      </c>
      <c r="L467" s="3">
        <v>50.3</v>
      </c>
      <c r="M467" s="3">
        <v>1.1000000000000001</v>
      </c>
      <c r="N467" s="4">
        <v>50280</v>
      </c>
      <c r="O467" s="4" t="str" cm="1">
        <f t="array" ref="O467">_xlfn.IFS(N467&lt;45000,"Under 45K",N467&lt;75000,"45K - 75K",N467&lt;100000,"75K - 100K",N467&gt;=100000,"Over 100K")</f>
        <v>45K - 75K</v>
      </c>
      <c r="P467" s="2" t="s">
        <v>152</v>
      </c>
    </row>
    <row r="468" spans="1:16">
      <c r="A468" s="2" t="s">
        <v>974</v>
      </c>
      <c r="B468" s="2" t="s">
        <v>975</v>
      </c>
      <c r="C468" s="2" t="s">
        <v>931</v>
      </c>
      <c r="D468" s="2" t="s">
        <v>19</v>
      </c>
      <c r="E468" s="2">
        <v>-0.52461530000000001</v>
      </c>
      <c r="F468" s="3">
        <v>392.3</v>
      </c>
      <c r="G468" s="3">
        <v>405.5</v>
      </c>
      <c r="H468" s="3">
        <v>0.2</v>
      </c>
      <c r="I468" s="3">
        <v>0.2</v>
      </c>
      <c r="J468" s="3">
        <v>13.2</v>
      </c>
      <c r="K468" s="3">
        <v>3.4</v>
      </c>
      <c r="L468" s="3">
        <v>1.1000000000000001</v>
      </c>
      <c r="M468" s="3">
        <v>102.4</v>
      </c>
      <c r="N468" s="4">
        <v>30490</v>
      </c>
      <c r="O468" s="4" t="str" cm="1">
        <f t="array" ref="O468">_xlfn.IFS(N468&lt;45000,"Under 45K",N468&lt;75000,"45K - 75K",N468&lt;100000,"75K - 100K",N468&gt;=100000,"Over 100K")</f>
        <v>Under 45K</v>
      </c>
      <c r="P468" s="2" t="s">
        <v>165</v>
      </c>
    </row>
    <row r="469" spans="1:16">
      <c r="A469" s="2" t="s">
        <v>976</v>
      </c>
      <c r="B469" s="2" t="s">
        <v>977</v>
      </c>
      <c r="C469" s="2" t="s">
        <v>931</v>
      </c>
      <c r="D469" s="2" t="s">
        <v>19</v>
      </c>
      <c r="E469" s="2">
        <v>-0.54454119999999995</v>
      </c>
      <c r="F469" s="3">
        <v>32.5</v>
      </c>
      <c r="G469" s="3">
        <v>33.5</v>
      </c>
      <c r="H469" s="3">
        <v>0</v>
      </c>
      <c r="I469" s="3">
        <v>0</v>
      </c>
      <c r="J469" s="3">
        <v>1</v>
      </c>
      <c r="K469" s="3">
        <v>3.1</v>
      </c>
      <c r="L469" s="3">
        <v>4.8</v>
      </c>
      <c r="M469" s="3">
        <v>5.7</v>
      </c>
      <c r="N469" s="4">
        <v>34610</v>
      </c>
      <c r="O469" s="4" t="str" cm="1">
        <f t="array" ref="O469">_xlfn.IFS(N469&lt;45000,"Under 45K",N469&lt;75000,"45K - 75K",N469&lt;100000,"75K - 100K",N469&gt;=100000,"Over 100K")</f>
        <v>Under 45K</v>
      </c>
      <c r="P469" s="2" t="s">
        <v>47</v>
      </c>
    </row>
    <row r="470" spans="1:16">
      <c r="A470" s="2" t="s">
        <v>978</v>
      </c>
      <c r="B470" s="2" t="s">
        <v>979</v>
      </c>
      <c r="C470" s="2" t="s">
        <v>931</v>
      </c>
      <c r="D470" s="2" t="s">
        <v>19</v>
      </c>
      <c r="E470" s="2">
        <v>-0.68245169999999999</v>
      </c>
      <c r="F470" s="3">
        <v>575.20000000000005</v>
      </c>
      <c r="G470" s="3">
        <v>607.4</v>
      </c>
      <c r="H470" s="3">
        <v>0.3</v>
      </c>
      <c r="I470" s="3">
        <v>0.3</v>
      </c>
      <c r="J470" s="3">
        <v>32.200000000000003</v>
      </c>
      <c r="K470" s="3">
        <v>5.6</v>
      </c>
      <c r="L470" s="3">
        <v>47.6</v>
      </c>
      <c r="M470" s="3">
        <v>75.8</v>
      </c>
      <c r="N470" s="4">
        <v>35250</v>
      </c>
      <c r="O470" s="4" t="str" cm="1">
        <f t="array" ref="O470">_xlfn.IFS(N470&lt;45000,"Under 45K",N470&lt;75000,"45K - 75K",N470&lt;100000,"75K - 100K",N470&gt;=100000,"Over 100K")</f>
        <v>Under 45K</v>
      </c>
      <c r="P470" s="2" t="s">
        <v>152</v>
      </c>
    </row>
    <row r="471" spans="1:16">
      <c r="A471" s="2" t="s">
        <v>980</v>
      </c>
      <c r="B471" s="2" t="s">
        <v>981</v>
      </c>
      <c r="C471" s="2" t="s">
        <v>931</v>
      </c>
      <c r="D471" s="2" t="s">
        <v>19</v>
      </c>
      <c r="E471" s="2">
        <v>-0.7294621</v>
      </c>
      <c r="F471" s="3">
        <v>76</v>
      </c>
      <c r="G471" s="3">
        <v>79.2</v>
      </c>
      <c r="H471" s="3">
        <v>0</v>
      </c>
      <c r="I471" s="3">
        <v>0</v>
      </c>
      <c r="J471" s="3">
        <v>3.1</v>
      </c>
      <c r="K471" s="3">
        <v>4.0999999999999996</v>
      </c>
      <c r="L471" s="3">
        <v>75.599999999999994</v>
      </c>
      <c r="M471" s="3">
        <v>8.4</v>
      </c>
      <c r="N471" s="4">
        <v>38960</v>
      </c>
      <c r="O471" s="4" t="str" cm="1">
        <f t="array" ref="O471">_xlfn.IFS(N471&lt;45000,"Under 45K",N471&lt;75000,"45K - 75K",N471&lt;100000,"75K - 100K",N471&gt;=100000,"Over 100K")</f>
        <v>Under 45K</v>
      </c>
      <c r="P471" s="2" t="s">
        <v>152</v>
      </c>
    </row>
    <row r="472" spans="1:16">
      <c r="A472" s="2" t="s">
        <v>982</v>
      </c>
      <c r="B472" s="2" t="s">
        <v>983</v>
      </c>
      <c r="C472" s="2" t="s">
        <v>931</v>
      </c>
      <c r="D472" s="2" t="s">
        <v>19</v>
      </c>
      <c r="E472" s="2">
        <v>-0.73114509999999999</v>
      </c>
      <c r="F472" s="3">
        <v>3.6</v>
      </c>
      <c r="G472" s="3">
        <v>3.7</v>
      </c>
      <c r="H472" s="3">
        <v>0</v>
      </c>
      <c r="I472" s="3">
        <v>0</v>
      </c>
      <c r="J472" s="3">
        <v>0</v>
      </c>
      <c r="K472" s="3">
        <v>1.3</v>
      </c>
      <c r="L472" s="3">
        <v>4.8</v>
      </c>
      <c r="M472" s="3">
        <v>0.6</v>
      </c>
      <c r="N472" s="4">
        <v>56280</v>
      </c>
      <c r="O472" s="4" t="str" cm="1">
        <f t="array" ref="O472">_xlfn.IFS(N472&lt;45000,"Under 45K",N472&lt;75000,"45K - 75K",N472&lt;100000,"75K - 100K",N472&gt;=100000,"Over 100K")</f>
        <v>45K - 75K</v>
      </c>
      <c r="P472" s="2" t="s">
        <v>92</v>
      </c>
    </row>
    <row r="473" spans="1:16">
      <c r="A473" s="2" t="s">
        <v>984</v>
      </c>
      <c r="B473" s="2" t="s">
        <v>985</v>
      </c>
      <c r="C473" s="2" t="s">
        <v>931</v>
      </c>
      <c r="D473" s="2" t="s">
        <v>19</v>
      </c>
      <c r="E473" s="2">
        <v>-0.88904079999999996</v>
      </c>
      <c r="F473" s="3">
        <v>392.1</v>
      </c>
      <c r="G473" s="3">
        <v>439.6</v>
      </c>
      <c r="H473" s="3">
        <v>0.2</v>
      </c>
      <c r="I473" s="3">
        <v>0.3</v>
      </c>
      <c r="J473" s="3">
        <v>47.6</v>
      </c>
      <c r="K473" s="3">
        <v>12.1</v>
      </c>
      <c r="L473" s="3">
        <v>25.2</v>
      </c>
      <c r="M473" s="3">
        <v>74.599999999999994</v>
      </c>
      <c r="N473" s="4">
        <v>33470</v>
      </c>
      <c r="O473" s="4" t="str" cm="1">
        <f t="array" ref="O473">_xlfn.IFS(N473&lt;45000,"Under 45K",N473&lt;75000,"45K - 75K",N473&lt;100000,"75K - 100K",N473&gt;=100000,"Over 100K")</f>
        <v>Under 45K</v>
      </c>
      <c r="P473" s="2" t="s">
        <v>47</v>
      </c>
    </row>
    <row r="474" spans="1:16">
      <c r="A474" s="2" t="s">
        <v>986</v>
      </c>
      <c r="B474" s="2" t="s">
        <v>987</v>
      </c>
      <c r="C474" s="2" t="s">
        <v>931</v>
      </c>
      <c r="D474" s="2" t="s">
        <v>19</v>
      </c>
      <c r="E474" s="2">
        <v>-0.90537100000000004</v>
      </c>
      <c r="F474" s="3">
        <v>18.5</v>
      </c>
      <c r="G474" s="3">
        <v>19.600000000000001</v>
      </c>
      <c r="H474" s="3">
        <v>0</v>
      </c>
      <c r="I474" s="3">
        <v>0</v>
      </c>
      <c r="J474" s="3">
        <v>1</v>
      </c>
      <c r="K474" s="3">
        <v>5.5</v>
      </c>
      <c r="L474" s="3">
        <v>50.9</v>
      </c>
      <c r="M474" s="3">
        <v>2.7</v>
      </c>
      <c r="N474" s="4">
        <v>31470</v>
      </c>
      <c r="O474" s="4" t="str" cm="1">
        <f t="array" ref="O474">_xlfn.IFS(N474&lt;45000,"Under 45K",N474&lt;75000,"45K - 75K",N474&lt;100000,"75K - 100K",N474&gt;=100000,"Over 100K")</f>
        <v>Under 45K</v>
      </c>
      <c r="P474" s="2" t="s">
        <v>165</v>
      </c>
    </row>
    <row r="475" spans="1:16">
      <c r="A475" s="2" t="s">
        <v>988</v>
      </c>
      <c r="B475" s="2" t="s">
        <v>989</v>
      </c>
      <c r="C475" s="2" t="s">
        <v>931</v>
      </c>
      <c r="D475" s="2" t="s">
        <v>19</v>
      </c>
      <c r="E475" s="2">
        <v>-0.91677589999999998</v>
      </c>
      <c r="F475" s="3">
        <v>47.3</v>
      </c>
      <c r="G475" s="3">
        <v>49.8</v>
      </c>
      <c r="H475" s="3">
        <v>0</v>
      </c>
      <c r="I475" s="3">
        <v>0</v>
      </c>
      <c r="J475" s="3">
        <v>2.4</v>
      </c>
      <c r="K475" s="3">
        <v>5.0999999999999996</v>
      </c>
      <c r="L475" s="3">
        <v>38.799999999999997</v>
      </c>
      <c r="M475" s="3">
        <v>7.1</v>
      </c>
      <c r="N475" s="4">
        <v>38750</v>
      </c>
      <c r="O475" s="4" t="str" cm="1">
        <f t="array" ref="O475">_xlfn.IFS(N475&lt;45000,"Under 45K",N475&lt;75000,"45K - 75K",N475&lt;100000,"75K - 100K",N475&gt;=100000,"Over 100K")</f>
        <v>Under 45K</v>
      </c>
      <c r="P475" s="2" t="s">
        <v>47</v>
      </c>
    </row>
    <row r="476" spans="1:16">
      <c r="A476" s="2" t="s">
        <v>990</v>
      </c>
      <c r="B476" s="2" t="s">
        <v>991</v>
      </c>
      <c r="C476" s="2" t="s">
        <v>931</v>
      </c>
      <c r="D476" s="2" t="s">
        <v>19</v>
      </c>
      <c r="E476" s="2">
        <v>-1.2720149999999999</v>
      </c>
      <c r="F476" s="3">
        <v>32.5</v>
      </c>
      <c r="G476" s="3">
        <v>32</v>
      </c>
      <c r="H476" s="3">
        <v>0</v>
      </c>
      <c r="I476" s="3">
        <v>0</v>
      </c>
      <c r="J476" s="3">
        <v>-0.5</v>
      </c>
      <c r="K476" s="3">
        <v>-1.6</v>
      </c>
      <c r="L476" s="3" t="s">
        <v>30</v>
      </c>
      <c r="M476" s="3">
        <v>4.5999999999999996</v>
      </c>
      <c r="N476" s="4">
        <v>36020</v>
      </c>
      <c r="O476" s="4" t="str" cm="1">
        <f t="array" ref="O476">_xlfn.IFS(N476&lt;45000,"Under 45K",N476&lt;75000,"45K - 75K",N476&lt;100000,"75K - 100K",N476&gt;=100000,"Over 100K")</f>
        <v>Under 45K</v>
      </c>
      <c r="P476" s="2" t="s">
        <v>47</v>
      </c>
    </row>
    <row r="477" spans="1:16">
      <c r="A477" s="2" t="s">
        <v>992</v>
      </c>
      <c r="B477" s="2" t="s">
        <v>993</v>
      </c>
      <c r="C477" s="2" t="s">
        <v>931</v>
      </c>
      <c r="D477" s="2" t="s">
        <v>19</v>
      </c>
      <c r="E477" s="2">
        <v>-2.1119479999999999</v>
      </c>
      <c r="F477" s="3">
        <v>370.1</v>
      </c>
      <c r="G477" s="3">
        <v>414.2</v>
      </c>
      <c r="H477" s="3">
        <v>0.2</v>
      </c>
      <c r="I477" s="3">
        <v>0.2</v>
      </c>
      <c r="J477" s="3">
        <v>44.1</v>
      </c>
      <c r="K477" s="3">
        <v>11.9</v>
      </c>
      <c r="L477" s="3">
        <v>14.3</v>
      </c>
      <c r="M477" s="3">
        <v>74.2</v>
      </c>
      <c r="N477" s="4">
        <v>46180</v>
      </c>
      <c r="O477" s="4" t="str" cm="1">
        <f t="array" ref="O477">_xlfn.IFS(N477&lt;45000,"Under 45K",N477&lt;75000,"45K - 75K",N477&lt;100000,"75K - 100K",N477&gt;=100000,"Over 100K")</f>
        <v>45K - 75K</v>
      </c>
      <c r="P477" s="2" t="s">
        <v>47</v>
      </c>
    </row>
    <row r="478" spans="1:16">
      <c r="A478" s="2" t="s">
        <v>994</v>
      </c>
      <c r="B478" s="2" t="s">
        <v>995</v>
      </c>
      <c r="C478" s="2" t="s">
        <v>996</v>
      </c>
      <c r="D478" s="2" t="s">
        <v>19</v>
      </c>
      <c r="E478" s="2">
        <v>1.3412580000000001</v>
      </c>
      <c r="F478" s="3">
        <v>568.79999999999995</v>
      </c>
      <c r="G478" s="3">
        <v>589.79999999999995</v>
      </c>
      <c r="H478" s="3">
        <v>0.3</v>
      </c>
      <c r="I478" s="3">
        <v>0.3</v>
      </c>
      <c r="J478" s="3">
        <v>21.1</v>
      </c>
      <c r="K478" s="3">
        <v>3.7</v>
      </c>
      <c r="L478" s="3">
        <v>12.5</v>
      </c>
      <c r="M478" s="3">
        <v>47</v>
      </c>
      <c r="N478" s="4">
        <v>60370</v>
      </c>
      <c r="O478" s="4" t="str" cm="1">
        <f t="array" ref="O478">_xlfn.IFS(N478&lt;45000,"Under 45K",N478&lt;75000,"45K - 75K",N478&lt;100000,"75K - 100K",N478&gt;=100000,"Over 100K")</f>
        <v>45K - 75K</v>
      </c>
      <c r="P478" s="2" t="s">
        <v>47</v>
      </c>
    </row>
    <row r="479" spans="1:16">
      <c r="A479" s="2" t="s">
        <v>997</v>
      </c>
      <c r="B479" s="2" t="s">
        <v>998</v>
      </c>
      <c r="C479" s="2" t="s">
        <v>996</v>
      </c>
      <c r="D479" s="2" t="s">
        <v>19</v>
      </c>
      <c r="E479" s="2">
        <v>1.316195</v>
      </c>
      <c r="F479" s="3">
        <v>320</v>
      </c>
      <c r="G479" s="3">
        <v>320</v>
      </c>
      <c r="H479" s="3">
        <v>0.2</v>
      </c>
      <c r="I479" s="3">
        <v>0.2</v>
      </c>
      <c r="J479" s="3">
        <v>0</v>
      </c>
      <c r="K479" s="3">
        <v>0</v>
      </c>
      <c r="L479" s="3">
        <v>30</v>
      </c>
      <c r="M479" s="3">
        <v>24.8</v>
      </c>
      <c r="N479" s="4">
        <v>84130</v>
      </c>
      <c r="O479" s="4" t="str" cm="1">
        <f t="array" ref="O479">_xlfn.IFS(N479&lt;45000,"Under 45K",N479&lt;75000,"45K - 75K",N479&lt;100000,"75K - 100K",N479&gt;=100000,"Over 100K")</f>
        <v>75K - 100K</v>
      </c>
      <c r="P479" s="2" t="s">
        <v>47</v>
      </c>
    </row>
    <row r="480" spans="1:16">
      <c r="A480" s="2" t="s">
        <v>999</v>
      </c>
      <c r="B480" s="2" t="s">
        <v>1000</v>
      </c>
      <c r="C480" s="2" t="s">
        <v>996</v>
      </c>
      <c r="D480" s="2" t="s">
        <v>19</v>
      </c>
      <c r="E480" s="2">
        <v>1.2562979999999999</v>
      </c>
      <c r="F480" s="3">
        <v>514.5</v>
      </c>
      <c r="G480" s="3">
        <v>531.6</v>
      </c>
      <c r="H480" s="3">
        <v>0.3</v>
      </c>
      <c r="I480" s="3">
        <v>0.3</v>
      </c>
      <c r="J480" s="3">
        <v>17.100000000000001</v>
      </c>
      <c r="K480" s="3">
        <v>3.3</v>
      </c>
      <c r="L480" s="3">
        <v>6.6</v>
      </c>
      <c r="M480" s="3">
        <v>38.1</v>
      </c>
      <c r="N480" s="4">
        <v>78140</v>
      </c>
      <c r="O480" s="4" t="str" cm="1">
        <f t="array" ref="O480">_xlfn.IFS(N480&lt;45000,"Under 45K",N480&lt;75000,"45K - 75K",N480&lt;100000,"75K - 100K",N480&gt;=100000,"Over 100K")</f>
        <v>75K - 100K</v>
      </c>
      <c r="P480" s="2" t="s">
        <v>23</v>
      </c>
    </row>
    <row r="481" spans="1:16">
      <c r="A481" s="2" t="s">
        <v>1001</v>
      </c>
      <c r="B481" s="2" t="s">
        <v>1002</v>
      </c>
      <c r="C481" s="2" t="s">
        <v>996</v>
      </c>
      <c r="D481" s="2" t="s">
        <v>19</v>
      </c>
      <c r="E481" s="2">
        <v>1.162588</v>
      </c>
      <c r="F481" s="3">
        <v>103.7</v>
      </c>
      <c r="G481" s="3">
        <v>97.1</v>
      </c>
      <c r="H481" s="3">
        <v>0.1</v>
      </c>
      <c r="I481" s="3">
        <v>0.1</v>
      </c>
      <c r="J481" s="3">
        <v>-6.6</v>
      </c>
      <c r="K481" s="3">
        <v>-6.4</v>
      </c>
      <c r="L481" s="3">
        <v>5.3</v>
      </c>
      <c r="M481" s="3">
        <v>9.3000000000000007</v>
      </c>
      <c r="N481" s="4">
        <v>61460</v>
      </c>
      <c r="O481" s="4" t="str" cm="1">
        <f t="array" ref="O481">_xlfn.IFS(N481&lt;45000,"Under 45K",N481&lt;75000,"45K - 75K",N481&lt;100000,"75K - 100K",N481&gt;=100000,"Over 100K")</f>
        <v>45K - 75K</v>
      </c>
      <c r="P481" s="2" t="s">
        <v>47</v>
      </c>
    </row>
    <row r="482" spans="1:16">
      <c r="A482" s="2" t="s">
        <v>1003</v>
      </c>
      <c r="B482" s="2" t="s">
        <v>1004</v>
      </c>
      <c r="C482" s="2" t="s">
        <v>996</v>
      </c>
      <c r="D482" s="2" t="s">
        <v>19</v>
      </c>
      <c r="E482" s="2">
        <v>1.149681</v>
      </c>
      <c r="F482" s="3">
        <v>111.3</v>
      </c>
      <c r="G482" s="3">
        <v>115</v>
      </c>
      <c r="H482" s="3">
        <v>0.1</v>
      </c>
      <c r="I482" s="3">
        <v>0.1</v>
      </c>
      <c r="J482" s="3">
        <v>3.7</v>
      </c>
      <c r="K482" s="3">
        <v>3.3</v>
      </c>
      <c r="L482" s="3">
        <v>54.5</v>
      </c>
      <c r="M482" s="3">
        <v>9.6999999999999993</v>
      </c>
      <c r="N482" s="4">
        <v>72280</v>
      </c>
      <c r="O482" s="4" t="str" cm="1">
        <f t="array" ref="O482">_xlfn.IFS(N482&lt;45000,"Under 45K",N482&lt;75000,"45K - 75K",N482&lt;100000,"75K - 100K",N482&gt;=100000,"Over 100K")</f>
        <v>45K - 75K</v>
      </c>
      <c r="P482" s="2" t="s">
        <v>47</v>
      </c>
    </row>
    <row r="483" spans="1:16">
      <c r="A483" s="2" t="s">
        <v>1005</v>
      </c>
      <c r="B483" s="2" t="s">
        <v>1006</v>
      </c>
      <c r="C483" s="2" t="s">
        <v>996</v>
      </c>
      <c r="D483" s="2" t="s">
        <v>19</v>
      </c>
      <c r="E483" s="2">
        <v>1.145416</v>
      </c>
      <c r="F483" s="3">
        <v>56.8</v>
      </c>
      <c r="G483" s="3">
        <v>59.9</v>
      </c>
      <c r="H483" s="3">
        <v>0</v>
      </c>
      <c r="I483" s="3">
        <v>0</v>
      </c>
      <c r="J483" s="3">
        <v>3.1</v>
      </c>
      <c r="K483" s="3">
        <v>5.5</v>
      </c>
      <c r="L483" s="3" t="s">
        <v>30</v>
      </c>
      <c r="M483" s="3">
        <v>5</v>
      </c>
      <c r="N483" s="4">
        <v>121520</v>
      </c>
      <c r="O483" s="4" t="str" cm="1">
        <f t="array" ref="O483">_xlfn.IFS(N483&lt;45000,"Under 45K",N483&lt;75000,"45K - 75K",N483&lt;100000,"75K - 100K",N483&gt;=100000,"Over 100K")</f>
        <v>Over 100K</v>
      </c>
      <c r="P483" s="2" t="s">
        <v>23</v>
      </c>
    </row>
    <row r="484" spans="1:16">
      <c r="A484" s="2" t="s">
        <v>1007</v>
      </c>
      <c r="B484" s="2" t="s">
        <v>1008</v>
      </c>
      <c r="C484" s="2" t="s">
        <v>996</v>
      </c>
      <c r="D484" s="2" t="s">
        <v>19</v>
      </c>
      <c r="E484" s="2">
        <v>1.1335980000000001</v>
      </c>
      <c r="F484" s="3">
        <v>65.7</v>
      </c>
      <c r="G484" s="3">
        <v>67.2</v>
      </c>
      <c r="H484" s="3">
        <v>0</v>
      </c>
      <c r="I484" s="3">
        <v>0</v>
      </c>
      <c r="J484" s="3">
        <v>1.4</v>
      </c>
      <c r="K484" s="3">
        <v>2.2000000000000002</v>
      </c>
      <c r="L484" s="3">
        <v>11.2</v>
      </c>
      <c r="M484" s="3">
        <v>7.1</v>
      </c>
      <c r="N484" s="4">
        <v>48450</v>
      </c>
      <c r="O484" s="4" t="str" cm="1">
        <f t="array" ref="O484">_xlfn.IFS(N484&lt;45000,"Under 45K",N484&lt;75000,"45K - 75K",N484&lt;100000,"75K - 100K",N484&gt;=100000,"Over 100K")</f>
        <v>45K - 75K</v>
      </c>
      <c r="P484" s="2" t="s">
        <v>47</v>
      </c>
    </row>
    <row r="485" spans="1:16">
      <c r="A485" s="2" t="s">
        <v>1009</v>
      </c>
      <c r="B485" s="2" t="s">
        <v>1010</v>
      </c>
      <c r="C485" s="2" t="s">
        <v>996</v>
      </c>
      <c r="D485" s="2" t="s">
        <v>19</v>
      </c>
      <c r="E485" s="2">
        <v>1.1181289999999999</v>
      </c>
      <c r="F485" s="3">
        <v>67.400000000000006</v>
      </c>
      <c r="G485" s="3">
        <v>52.5</v>
      </c>
      <c r="H485" s="3">
        <v>0</v>
      </c>
      <c r="I485" s="3">
        <v>0</v>
      </c>
      <c r="J485" s="3">
        <v>-14.9</v>
      </c>
      <c r="K485" s="3">
        <v>-22.1</v>
      </c>
      <c r="L485" s="3">
        <v>0.6</v>
      </c>
      <c r="M485" s="3">
        <v>6.5</v>
      </c>
      <c r="N485" s="4">
        <v>34410</v>
      </c>
      <c r="O485" s="4" t="str" cm="1">
        <f t="array" ref="O485">_xlfn.IFS(N485&lt;45000,"Under 45K",N485&lt;75000,"45K - 75K",N485&lt;100000,"75K - 100K",N485&gt;=100000,"Over 100K")</f>
        <v>Under 45K</v>
      </c>
      <c r="P485" s="2" t="s">
        <v>165</v>
      </c>
    </row>
    <row r="486" spans="1:16">
      <c r="A486" s="2" t="s">
        <v>1011</v>
      </c>
      <c r="B486" s="2" t="s">
        <v>1012</v>
      </c>
      <c r="C486" s="2" t="s">
        <v>996</v>
      </c>
      <c r="D486" s="2" t="s">
        <v>19</v>
      </c>
      <c r="E486" s="2">
        <v>1.1071009999999999</v>
      </c>
      <c r="F486" s="3">
        <v>25.3</v>
      </c>
      <c r="G486" s="3">
        <v>22.8</v>
      </c>
      <c r="H486" s="3">
        <v>0</v>
      </c>
      <c r="I486" s="3">
        <v>0</v>
      </c>
      <c r="J486" s="3">
        <v>-2.5</v>
      </c>
      <c r="K486" s="3">
        <v>-10</v>
      </c>
      <c r="L486" s="3">
        <v>81.8</v>
      </c>
      <c r="M486" s="3">
        <v>2.7</v>
      </c>
      <c r="N486" s="4">
        <v>34530</v>
      </c>
      <c r="O486" s="4" t="str" cm="1">
        <f t="array" ref="O486">_xlfn.IFS(N486&lt;45000,"Under 45K",N486&lt;75000,"45K - 75K",N486&lt;100000,"75K - 100K",N486&gt;=100000,"Over 100K")</f>
        <v>Under 45K</v>
      </c>
      <c r="P486" s="2" t="s">
        <v>165</v>
      </c>
    </row>
    <row r="487" spans="1:16">
      <c r="A487" s="2" t="s">
        <v>1013</v>
      </c>
      <c r="B487" s="2" t="s">
        <v>1014</v>
      </c>
      <c r="C487" s="2" t="s">
        <v>996</v>
      </c>
      <c r="D487" s="2" t="s">
        <v>19</v>
      </c>
      <c r="E487" s="2">
        <v>0.8911985</v>
      </c>
      <c r="F487" s="3">
        <v>303.2</v>
      </c>
      <c r="G487" s="3">
        <v>308.89999999999998</v>
      </c>
      <c r="H487" s="3">
        <v>0.2</v>
      </c>
      <c r="I487" s="3">
        <v>0.2</v>
      </c>
      <c r="J487" s="3">
        <v>5.7</v>
      </c>
      <c r="K487" s="3">
        <v>1.9</v>
      </c>
      <c r="L487" s="3">
        <v>2.1</v>
      </c>
      <c r="M487" s="3">
        <v>27.2</v>
      </c>
      <c r="N487" s="4">
        <v>100070</v>
      </c>
      <c r="O487" s="4" t="str" cm="1">
        <f t="array" ref="O487">_xlfn.IFS(N487&lt;45000,"Under 45K",N487&lt;75000,"45K - 75K",N487&lt;100000,"75K - 100K",N487&gt;=100000,"Over 100K")</f>
        <v>Over 100K</v>
      </c>
      <c r="P487" s="2" t="s">
        <v>23</v>
      </c>
    </row>
    <row r="488" spans="1:16">
      <c r="A488" s="2" t="s">
        <v>1015</v>
      </c>
      <c r="B488" s="2" t="s">
        <v>1016</v>
      </c>
      <c r="C488" s="2" t="s">
        <v>996</v>
      </c>
      <c r="D488" s="2" t="s">
        <v>19</v>
      </c>
      <c r="E488" s="2">
        <v>0.86494450000000001</v>
      </c>
      <c r="F488" s="3">
        <v>420.9</v>
      </c>
      <c r="G488" s="3">
        <v>433.7</v>
      </c>
      <c r="H488" s="3">
        <v>0.2</v>
      </c>
      <c r="I488" s="3">
        <v>0.2</v>
      </c>
      <c r="J488" s="3">
        <v>12.8</v>
      </c>
      <c r="K488" s="3">
        <v>3.1</v>
      </c>
      <c r="L488" s="3">
        <v>53.7</v>
      </c>
      <c r="M488" s="3">
        <v>36.6</v>
      </c>
      <c r="N488" s="4">
        <v>56320</v>
      </c>
      <c r="O488" s="4" t="str" cm="1">
        <f t="array" ref="O488">_xlfn.IFS(N488&lt;45000,"Under 45K",N488&lt;75000,"45K - 75K",N488&lt;100000,"75K - 100K",N488&gt;=100000,"Over 100K")</f>
        <v>45K - 75K</v>
      </c>
      <c r="P488" s="2" t="s">
        <v>47</v>
      </c>
    </row>
    <row r="489" spans="1:16">
      <c r="A489" s="2" t="s">
        <v>1017</v>
      </c>
      <c r="B489" s="2" t="s">
        <v>1018</v>
      </c>
      <c r="C489" s="2" t="s">
        <v>996</v>
      </c>
      <c r="D489" s="2" t="s">
        <v>19</v>
      </c>
      <c r="E489" s="2">
        <v>0.82246810000000004</v>
      </c>
      <c r="F489" s="3">
        <v>1310.5</v>
      </c>
      <c r="G489" s="3">
        <v>1314.9</v>
      </c>
      <c r="H489" s="3">
        <v>0.8</v>
      </c>
      <c r="I489" s="3">
        <v>0.8</v>
      </c>
      <c r="J489" s="3">
        <v>4.4000000000000004</v>
      </c>
      <c r="K489" s="3">
        <v>0.3</v>
      </c>
      <c r="L489" s="3">
        <v>2.1</v>
      </c>
      <c r="M489" s="3">
        <v>114.8</v>
      </c>
      <c r="N489" s="4">
        <v>66780</v>
      </c>
      <c r="O489" s="4" t="str" cm="1">
        <f t="array" ref="O489">_xlfn.IFS(N489&lt;45000,"Under 45K",N489&lt;75000,"45K - 75K",N489&lt;100000,"75K - 100K",N489&gt;=100000,"Over 100K")</f>
        <v>45K - 75K</v>
      </c>
      <c r="P489" s="2" t="s">
        <v>47</v>
      </c>
    </row>
    <row r="490" spans="1:16">
      <c r="A490" s="2" t="s">
        <v>1019</v>
      </c>
      <c r="B490" s="2" t="s">
        <v>1020</v>
      </c>
      <c r="C490" s="2" t="s">
        <v>996</v>
      </c>
      <c r="D490" s="2" t="s">
        <v>19</v>
      </c>
      <c r="E490" s="2">
        <v>0.1235652</v>
      </c>
      <c r="F490" s="3">
        <v>79.2</v>
      </c>
      <c r="G490" s="3">
        <v>79.099999999999994</v>
      </c>
      <c r="H490" s="3">
        <v>0</v>
      </c>
      <c r="I490" s="3">
        <v>0</v>
      </c>
      <c r="J490" s="3">
        <v>-0.1</v>
      </c>
      <c r="K490" s="3">
        <v>-0.1</v>
      </c>
      <c r="L490" s="3">
        <v>18.2</v>
      </c>
      <c r="M490" s="3">
        <v>14</v>
      </c>
      <c r="N490" s="4">
        <v>37960</v>
      </c>
      <c r="O490" s="4" t="str" cm="1">
        <f t="array" ref="O490">_xlfn.IFS(N490&lt;45000,"Under 45K",N490&lt;75000,"45K - 75K",N490&lt;100000,"75K - 100K",N490&gt;=100000,"Over 100K")</f>
        <v>Under 45K</v>
      </c>
      <c r="P490" s="2" t="s">
        <v>165</v>
      </c>
    </row>
    <row r="491" spans="1:16">
      <c r="A491" s="2" t="s">
        <v>1021</v>
      </c>
      <c r="B491" s="2" t="s">
        <v>1022</v>
      </c>
      <c r="C491" s="2" t="s">
        <v>996</v>
      </c>
      <c r="D491" s="2" t="s">
        <v>19</v>
      </c>
      <c r="E491" s="2">
        <v>8.7306900000000007E-2</v>
      </c>
      <c r="F491" s="3">
        <v>3936.7</v>
      </c>
      <c r="G491" s="3">
        <v>3917.1</v>
      </c>
      <c r="H491" s="3">
        <v>2.2999999999999998</v>
      </c>
      <c r="I491" s="3">
        <v>2.2000000000000002</v>
      </c>
      <c r="J491" s="3">
        <v>-19.600000000000001</v>
      </c>
      <c r="K491" s="3">
        <v>-0.5</v>
      </c>
      <c r="L491" s="3">
        <v>4</v>
      </c>
      <c r="M491" s="3">
        <v>555.79999999999995</v>
      </c>
      <c r="N491" s="4">
        <v>34580</v>
      </c>
      <c r="O491" s="4" t="str" cm="1">
        <f t="array" ref="O491">_xlfn.IFS(N491&lt;45000,"Under 45K",N491&lt;75000,"45K - 75K",N491&lt;100000,"75K - 100K",N491&gt;=100000,"Over 100K")</f>
        <v>Under 45K</v>
      </c>
      <c r="P491" s="2" t="s">
        <v>165</v>
      </c>
    </row>
    <row r="492" spans="1:16">
      <c r="A492" s="2" t="s">
        <v>1023</v>
      </c>
      <c r="B492" s="2" t="s">
        <v>1024</v>
      </c>
      <c r="C492" s="2" t="s">
        <v>996</v>
      </c>
      <c r="D492" s="2" t="s">
        <v>19</v>
      </c>
      <c r="E492" s="2">
        <v>7.8436699999999998E-2</v>
      </c>
      <c r="F492" s="3">
        <v>408.2</v>
      </c>
      <c r="G492" s="3">
        <v>421.3</v>
      </c>
      <c r="H492" s="3">
        <v>0.2</v>
      </c>
      <c r="I492" s="3">
        <v>0.2</v>
      </c>
      <c r="J492" s="3">
        <v>13.1</v>
      </c>
      <c r="K492" s="3">
        <v>3.2</v>
      </c>
      <c r="L492" s="3">
        <v>0.9</v>
      </c>
      <c r="M492" s="3">
        <v>45.9</v>
      </c>
      <c r="N492" s="4">
        <v>38540</v>
      </c>
      <c r="O492" s="4" t="str" cm="1">
        <f t="array" ref="O492">_xlfn.IFS(N492&lt;45000,"Under 45K",N492&lt;75000,"45K - 75K",N492&lt;100000,"75K - 100K",N492&gt;=100000,"Over 100K")</f>
        <v>Under 45K</v>
      </c>
      <c r="P492" s="2" t="s">
        <v>165</v>
      </c>
    </row>
    <row r="493" spans="1:16">
      <c r="A493" s="2" t="s">
        <v>1025</v>
      </c>
      <c r="B493" s="2" t="s">
        <v>1026</v>
      </c>
      <c r="C493" s="2" t="s">
        <v>996</v>
      </c>
      <c r="D493" s="2" t="s">
        <v>19</v>
      </c>
      <c r="E493" s="2">
        <v>1.9182600000000001E-2</v>
      </c>
      <c r="F493" s="3">
        <v>1432.6</v>
      </c>
      <c r="G493" s="3">
        <v>1360.3</v>
      </c>
      <c r="H493" s="3">
        <v>0.8</v>
      </c>
      <c r="I493" s="3">
        <v>0.8</v>
      </c>
      <c r="J493" s="3">
        <v>-72.3</v>
      </c>
      <c r="K493" s="3">
        <v>-5</v>
      </c>
      <c r="L493" s="3">
        <v>22.5</v>
      </c>
      <c r="M493" s="3">
        <v>125.1</v>
      </c>
      <c r="N493" s="4">
        <v>47320</v>
      </c>
      <c r="O493" s="4" t="str" cm="1">
        <f t="array" ref="O493">_xlfn.IFS(N493&lt;45000,"Under 45K",N493&lt;75000,"45K - 75K",N493&lt;100000,"75K - 100K",N493&gt;=100000,"Over 100K")</f>
        <v>45K - 75K</v>
      </c>
      <c r="P493" s="2" t="s">
        <v>47</v>
      </c>
    </row>
    <row r="494" spans="1:16">
      <c r="A494" s="2" t="s">
        <v>1027</v>
      </c>
      <c r="B494" s="2" t="s">
        <v>1028</v>
      </c>
      <c r="C494" s="2" t="s">
        <v>996</v>
      </c>
      <c r="D494" s="2" t="s">
        <v>19</v>
      </c>
      <c r="E494" s="15">
        <v>0</v>
      </c>
      <c r="F494" s="3">
        <v>1226.7</v>
      </c>
      <c r="G494" s="3">
        <v>1264.7</v>
      </c>
      <c r="H494" s="3">
        <v>0.7</v>
      </c>
      <c r="I494" s="3">
        <v>0.7</v>
      </c>
      <c r="J494" s="3">
        <v>37.9</v>
      </c>
      <c r="K494" s="3">
        <v>3.1</v>
      </c>
      <c r="L494" s="3">
        <v>2.1</v>
      </c>
      <c r="M494" s="3">
        <v>123</v>
      </c>
      <c r="N494" s="4">
        <v>66260</v>
      </c>
      <c r="O494" s="4" t="str" cm="1">
        <f t="array" ref="O494">_xlfn.IFS(N494&lt;45000,"Under 45K",N494&lt;75000,"45K - 75K",N494&lt;100000,"75K - 100K",N494&gt;=100000,"Over 100K")</f>
        <v>45K - 75K</v>
      </c>
      <c r="P494" s="2" t="s">
        <v>47</v>
      </c>
    </row>
    <row r="495" spans="1:16">
      <c r="A495" s="2" t="s">
        <v>1029</v>
      </c>
      <c r="B495" s="2" t="s">
        <v>1030</v>
      </c>
      <c r="C495" s="2" t="s">
        <v>996</v>
      </c>
      <c r="D495" s="2" t="s">
        <v>19</v>
      </c>
      <c r="E495" s="15">
        <v>0</v>
      </c>
      <c r="F495" s="3">
        <v>122.6</v>
      </c>
      <c r="G495" s="3">
        <v>127.1</v>
      </c>
      <c r="H495" s="3">
        <v>0.1</v>
      </c>
      <c r="I495" s="3">
        <v>0.1</v>
      </c>
      <c r="J495" s="3">
        <v>4.5</v>
      </c>
      <c r="K495" s="3">
        <v>3.7</v>
      </c>
      <c r="L495" s="3">
        <v>14.8</v>
      </c>
      <c r="M495" s="3">
        <v>16</v>
      </c>
      <c r="N495" s="4">
        <v>46370</v>
      </c>
      <c r="O495" s="4" t="str" cm="1">
        <f t="array" ref="O495">_xlfn.IFS(N495&lt;45000,"Under 45K",N495&lt;75000,"45K - 75K",N495&lt;100000,"75K - 100K",N495&gt;=100000,"Over 100K")</f>
        <v>45K - 75K</v>
      </c>
      <c r="P495" s="2" t="s">
        <v>47</v>
      </c>
    </row>
    <row r="496" spans="1:16">
      <c r="A496" s="2" t="s">
        <v>1031</v>
      </c>
      <c r="B496" s="2" t="s">
        <v>1032</v>
      </c>
      <c r="C496" s="2" t="s">
        <v>996</v>
      </c>
      <c r="D496" s="2" t="s">
        <v>19</v>
      </c>
      <c r="E496" s="2">
        <v>-5.0092600000000001E-2</v>
      </c>
      <c r="F496" s="3">
        <v>22.6</v>
      </c>
      <c r="G496" s="3">
        <v>21.1</v>
      </c>
      <c r="H496" s="3">
        <v>0</v>
      </c>
      <c r="I496" s="3">
        <v>0</v>
      </c>
      <c r="J496" s="3">
        <v>-1.5</v>
      </c>
      <c r="K496" s="3">
        <v>-6.4</v>
      </c>
      <c r="L496" s="3" t="s">
        <v>30</v>
      </c>
      <c r="M496" s="3">
        <v>4</v>
      </c>
      <c r="N496" s="4">
        <v>34810</v>
      </c>
      <c r="O496" s="4" t="str" cm="1">
        <f t="array" ref="O496">_xlfn.IFS(N496&lt;45000,"Under 45K",N496&lt;75000,"45K - 75K",N496&lt;100000,"75K - 100K",N496&gt;=100000,"Over 100K")</f>
        <v>Under 45K</v>
      </c>
      <c r="P496" s="2" t="s">
        <v>165</v>
      </c>
    </row>
    <row r="497" spans="1:16">
      <c r="A497" s="2" t="s">
        <v>1033</v>
      </c>
      <c r="B497" s="2" t="s">
        <v>1034</v>
      </c>
      <c r="C497" s="2" t="s">
        <v>996</v>
      </c>
      <c r="D497" s="2" t="s">
        <v>19</v>
      </c>
      <c r="E497" s="2">
        <v>-0.1184909</v>
      </c>
      <c r="F497" s="3">
        <v>272.10000000000002</v>
      </c>
      <c r="G497" s="3">
        <v>280.60000000000002</v>
      </c>
      <c r="H497" s="3">
        <v>0.2</v>
      </c>
      <c r="I497" s="3">
        <v>0.2</v>
      </c>
      <c r="J497" s="3">
        <v>8.5</v>
      </c>
      <c r="K497" s="3">
        <v>3.1</v>
      </c>
      <c r="L497" s="3">
        <v>1.6</v>
      </c>
      <c r="M497" s="3">
        <v>30.2</v>
      </c>
      <c r="N497" s="4">
        <v>37440</v>
      </c>
      <c r="O497" s="4" t="str" cm="1">
        <f t="array" ref="O497">_xlfn.IFS(N497&lt;45000,"Under 45K",N497&lt;75000,"45K - 75K",N497&lt;100000,"75K - 100K",N497&gt;=100000,"Over 100K")</f>
        <v>Under 45K</v>
      </c>
      <c r="P497" s="2" t="s">
        <v>165</v>
      </c>
    </row>
    <row r="498" spans="1:16">
      <c r="A498" s="2" t="s">
        <v>1035</v>
      </c>
      <c r="B498" s="2" t="s">
        <v>1036</v>
      </c>
      <c r="C498" s="2" t="s">
        <v>996</v>
      </c>
      <c r="D498" s="2" t="s">
        <v>19</v>
      </c>
      <c r="E498" s="2">
        <v>-0.2480887</v>
      </c>
      <c r="F498" s="3">
        <v>3157.2</v>
      </c>
      <c r="G498" s="3">
        <v>2843.6</v>
      </c>
      <c r="H498" s="3">
        <v>1.9</v>
      </c>
      <c r="I498" s="3">
        <v>1.6</v>
      </c>
      <c r="J498" s="3">
        <v>-313.60000000000002</v>
      </c>
      <c r="K498" s="3">
        <v>-9.9</v>
      </c>
      <c r="L498" s="3">
        <v>0.2</v>
      </c>
      <c r="M498" s="3">
        <v>542.6</v>
      </c>
      <c r="N498" s="4">
        <v>31190</v>
      </c>
      <c r="O498" s="4" t="str" cm="1">
        <f t="array" ref="O498">_xlfn.IFS(N498&lt;45000,"Under 45K",N498&lt;75000,"45K - 75K",N498&lt;100000,"75K - 100K",N498&gt;=100000,"Over 100K")</f>
        <v>Under 45K</v>
      </c>
      <c r="P498" s="2" t="s">
        <v>165</v>
      </c>
    </row>
    <row r="499" spans="1:16">
      <c r="A499" s="2" t="s">
        <v>1037</v>
      </c>
      <c r="B499" s="2" t="s">
        <v>1038</v>
      </c>
      <c r="C499" s="2" t="s">
        <v>996</v>
      </c>
      <c r="D499" s="2" t="s">
        <v>19</v>
      </c>
      <c r="E499" s="2">
        <v>-1.1220209999999999</v>
      </c>
      <c r="F499" s="3">
        <v>6.7</v>
      </c>
      <c r="G499" s="3">
        <v>6.7</v>
      </c>
      <c r="H499" s="3">
        <v>0</v>
      </c>
      <c r="I499" s="3">
        <v>0</v>
      </c>
      <c r="J499" s="3">
        <v>0</v>
      </c>
      <c r="K499" s="3">
        <v>-0.5</v>
      </c>
      <c r="L499" s="3">
        <v>16.3</v>
      </c>
      <c r="M499" s="3">
        <v>1.2</v>
      </c>
      <c r="N499" s="4">
        <v>89990</v>
      </c>
      <c r="O499" s="4" t="str" cm="1">
        <f t="array" ref="O499">_xlfn.IFS(N499&lt;45000,"Under 45K",N499&lt;75000,"45K - 75K",N499&lt;100000,"75K - 100K",N499&gt;=100000,"Over 100K")</f>
        <v>75K - 100K</v>
      </c>
      <c r="P499" s="2" t="s">
        <v>165</v>
      </c>
    </row>
    <row r="500" spans="1:16">
      <c r="A500" s="2" t="s">
        <v>1039</v>
      </c>
      <c r="B500" s="2" t="s">
        <v>1040</v>
      </c>
      <c r="C500" s="2" t="s">
        <v>1041</v>
      </c>
      <c r="D500" s="2" t="s">
        <v>19</v>
      </c>
      <c r="E500" s="2">
        <v>1.487838</v>
      </c>
      <c r="F500" s="3">
        <v>61.9</v>
      </c>
      <c r="G500" s="3">
        <v>56.6</v>
      </c>
      <c r="H500" s="3">
        <v>0</v>
      </c>
      <c r="I500" s="3">
        <v>0</v>
      </c>
      <c r="J500" s="3">
        <v>-5.4</v>
      </c>
      <c r="K500" s="3">
        <v>-8.6999999999999993</v>
      </c>
      <c r="L500" s="3" t="s">
        <v>30</v>
      </c>
      <c r="M500" s="3">
        <v>4.5999999999999996</v>
      </c>
      <c r="N500" s="4">
        <v>48510</v>
      </c>
      <c r="O500" s="4" t="str" cm="1">
        <f t="array" ref="O500">_xlfn.IFS(N500&lt;45000,"Under 45K",N500&lt;75000,"45K - 75K",N500&lt;100000,"75K - 100K",N500&gt;=100000,"Over 100K")</f>
        <v>45K - 75K</v>
      </c>
      <c r="P500" s="2" t="s">
        <v>47</v>
      </c>
    </row>
    <row r="501" spans="1:16">
      <c r="A501" s="2" t="s">
        <v>1042</v>
      </c>
      <c r="B501" s="2" t="s">
        <v>1043</v>
      </c>
      <c r="C501" s="2" t="s">
        <v>1041</v>
      </c>
      <c r="D501" s="2" t="s">
        <v>19</v>
      </c>
      <c r="E501" s="2">
        <v>1.440296</v>
      </c>
      <c r="F501" s="3">
        <v>12</v>
      </c>
      <c r="G501" s="3">
        <v>11.3</v>
      </c>
      <c r="H501" s="3">
        <v>0</v>
      </c>
      <c r="I501" s="3">
        <v>0</v>
      </c>
      <c r="J501" s="3">
        <v>-0.7</v>
      </c>
      <c r="K501" s="3">
        <v>-6.2</v>
      </c>
      <c r="L501" s="3" t="s">
        <v>30</v>
      </c>
      <c r="M501" s="3">
        <v>1</v>
      </c>
      <c r="N501" s="4">
        <v>49130</v>
      </c>
      <c r="O501" s="4" t="str" cm="1">
        <f t="array" ref="O501">_xlfn.IFS(N501&lt;45000,"Under 45K",N501&lt;75000,"45K - 75K",N501&lt;100000,"75K - 100K",N501&gt;=100000,"Over 100K")</f>
        <v>45K - 75K</v>
      </c>
      <c r="P501" s="2" t="s">
        <v>47</v>
      </c>
    </row>
    <row r="502" spans="1:16">
      <c r="A502" s="2" t="s">
        <v>1044</v>
      </c>
      <c r="B502" s="2" t="s">
        <v>1045</v>
      </c>
      <c r="C502" s="2" t="s">
        <v>1041</v>
      </c>
      <c r="D502" s="2" t="s">
        <v>19</v>
      </c>
      <c r="E502" s="2">
        <v>1.4054150000000001</v>
      </c>
      <c r="F502" s="3">
        <v>100.6</v>
      </c>
      <c r="G502" s="3">
        <v>109.2</v>
      </c>
      <c r="H502" s="3">
        <v>0.1</v>
      </c>
      <c r="I502" s="3">
        <v>0.1</v>
      </c>
      <c r="J502" s="3">
        <v>8.6</v>
      </c>
      <c r="K502" s="3">
        <v>8.5</v>
      </c>
      <c r="L502" s="3">
        <v>1.2</v>
      </c>
      <c r="M502" s="3">
        <v>8.8000000000000007</v>
      </c>
      <c r="N502" s="4">
        <v>49900</v>
      </c>
      <c r="O502" s="4" t="str" cm="1">
        <f t="array" ref="O502">_xlfn.IFS(N502&lt;45000,"Under 45K",N502&lt;75000,"45K - 75K",N502&lt;100000,"75K - 100K",N502&gt;=100000,"Over 100K")</f>
        <v>45K - 75K</v>
      </c>
      <c r="P502" s="2" t="s">
        <v>47</v>
      </c>
    </row>
    <row r="503" spans="1:16">
      <c r="A503" s="2" t="s">
        <v>1046</v>
      </c>
      <c r="B503" s="2" t="s">
        <v>1047</v>
      </c>
      <c r="C503" s="2" t="s">
        <v>1041</v>
      </c>
      <c r="D503" s="2" t="s">
        <v>19</v>
      </c>
      <c r="E503" s="2">
        <v>1.3899649999999999</v>
      </c>
      <c r="F503" s="3">
        <v>6.5</v>
      </c>
      <c r="G503" s="3">
        <v>6.3</v>
      </c>
      <c r="H503" s="3">
        <v>0</v>
      </c>
      <c r="I503" s="3">
        <v>0</v>
      </c>
      <c r="J503" s="3">
        <v>-0.2</v>
      </c>
      <c r="K503" s="3">
        <v>-2.5</v>
      </c>
      <c r="L503" s="3" t="s">
        <v>30</v>
      </c>
      <c r="M503" s="3">
        <v>0.8</v>
      </c>
      <c r="N503" s="4">
        <v>51440</v>
      </c>
      <c r="O503" s="4" t="str" cm="1">
        <f t="array" ref="O503">_xlfn.IFS(N503&lt;45000,"Under 45K",N503&lt;75000,"45K - 75K",N503&lt;100000,"75K - 100K",N503&gt;=100000,"Over 100K")</f>
        <v>45K - 75K</v>
      </c>
      <c r="P503" s="2" t="s">
        <v>23</v>
      </c>
    </row>
    <row r="504" spans="1:16">
      <c r="A504" s="2" t="s">
        <v>1048</v>
      </c>
      <c r="B504" s="2" t="s">
        <v>1049</v>
      </c>
      <c r="C504" s="2" t="s">
        <v>1041</v>
      </c>
      <c r="D504" s="2" t="s">
        <v>19</v>
      </c>
      <c r="E504" s="2">
        <v>1.364395</v>
      </c>
      <c r="F504" s="3">
        <v>177.6</v>
      </c>
      <c r="G504" s="3">
        <v>173.5</v>
      </c>
      <c r="H504" s="3">
        <v>0.1</v>
      </c>
      <c r="I504" s="3">
        <v>0.1</v>
      </c>
      <c r="J504" s="3">
        <v>-4.0999999999999996</v>
      </c>
      <c r="K504" s="3">
        <v>-2.2999999999999998</v>
      </c>
      <c r="L504" s="3">
        <v>0.9</v>
      </c>
      <c r="M504" s="3">
        <v>13.3</v>
      </c>
      <c r="N504" s="4">
        <v>48950</v>
      </c>
      <c r="O504" s="4" t="str" cm="1">
        <f t="array" ref="O504">_xlfn.IFS(N504&lt;45000,"Under 45K",N504&lt;75000,"45K - 75K",N504&lt;100000,"75K - 100K",N504&gt;=100000,"Over 100K")</f>
        <v>45K - 75K</v>
      </c>
      <c r="P504" s="2" t="s">
        <v>47</v>
      </c>
    </row>
    <row r="505" spans="1:16">
      <c r="A505" s="2" t="s">
        <v>1050</v>
      </c>
      <c r="B505" s="2" t="s">
        <v>1051</v>
      </c>
      <c r="C505" s="2" t="s">
        <v>1041</v>
      </c>
      <c r="D505" s="2" t="s">
        <v>19</v>
      </c>
      <c r="E505" s="2">
        <v>1.3530979999999999</v>
      </c>
      <c r="F505" s="3">
        <v>95.2</v>
      </c>
      <c r="G505" s="3">
        <v>88.4</v>
      </c>
      <c r="H505" s="3">
        <v>0.1</v>
      </c>
      <c r="I505" s="3">
        <v>0.1</v>
      </c>
      <c r="J505" s="3">
        <v>-6.8</v>
      </c>
      <c r="K505" s="3">
        <v>-7.1</v>
      </c>
      <c r="L505" s="3">
        <v>0.3</v>
      </c>
      <c r="M505" s="3">
        <v>9</v>
      </c>
      <c r="N505" s="4">
        <v>49440</v>
      </c>
      <c r="O505" s="4" t="str" cm="1">
        <f t="array" ref="O505">_xlfn.IFS(N505&lt;45000,"Under 45K",N505&lt;75000,"45K - 75K",N505&lt;100000,"75K - 100K",N505&gt;=100000,"Over 100K")</f>
        <v>45K - 75K</v>
      </c>
      <c r="P505" s="2" t="s">
        <v>92</v>
      </c>
    </row>
    <row r="506" spans="1:16">
      <c r="A506" s="2" t="s">
        <v>1052</v>
      </c>
      <c r="B506" s="2" t="s">
        <v>1053</v>
      </c>
      <c r="C506" s="2" t="s">
        <v>1041</v>
      </c>
      <c r="D506" s="2" t="s">
        <v>19</v>
      </c>
      <c r="E506" s="2">
        <v>1.3334550000000001</v>
      </c>
      <c r="F506" s="3">
        <v>429.8</v>
      </c>
      <c r="G506" s="3">
        <v>427.9</v>
      </c>
      <c r="H506" s="3">
        <v>0.3</v>
      </c>
      <c r="I506" s="3">
        <v>0.2</v>
      </c>
      <c r="J506" s="3">
        <v>-1.9</v>
      </c>
      <c r="K506" s="3">
        <v>-0.4</v>
      </c>
      <c r="L506" s="3">
        <v>0.8</v>
      </c>
      <c r="M506" s="3">
        <v>42.2</v>
      </c>
      <c r="N506" s="4">
        <v>47170</v>
      </c>
      <c r="O506" s="4" t="str" cm="1">
        <f t="array" ref="O506">_xlfn.IFS(N506&lt;45000,"Under 45K",N506&lt;75000,"45K - 75K",N506&lt;100000,"75K - 100K",N506&gt;=100000,"Over 100K")</f>
        <v>45K - 75K</v>
      </c>
      <c r="P506" s="2" t="s">
        <v>47</v>
      </c>
    </row>
    <row r="507" spans="1:16">
      <c r="A507" s="2" t="s">
        <v>1054</v>
      </c>
      <c r="B507" s="2" t="s">
        <v>1055</v>
      </c>
      <c r="C507" s="2" t="s">
        <v>1041</v>
      </c>
      <c r="D507" s="2" t="s">
        <v>19</v>
      </c>
      <c r="E507" s="2">
        <v>1.297031</v>
      </c>
      <c r="F507" s="3">
        <v>164.3</v>
      </c>
      <c r="G507" s="3">
        <v>145.1</v>
      </c>
      <c r="H507" s="3">
        <v>0.1</v>
      </c>
      <c r="I507" s="3">
        <v>0.1</v>
      </c>
      <c r="J507" s="3">
        <v>-19.100000000000001</v>
      </c>
      <c r="K507" s="3">
        <v>-11.6</v>
      </c>
      <c r="L507" s="3">
        <v>0.6</v>
      </c>
      <c r="M507" s="3">
        <v>15.8</v>
      </c>
      <c r="N507" s="4">
        <v>43830</v>
      </c>
      <c r="O507" s="4" t="str" cm="1">
        <f t="array" ref="O507">_xlfn.IFS(N507&lt;45000,"Under 45K",N507&lt;75000,"45K - 75K",N507&lt;100000,"75K - 100K",N507&gt;=100000,"Over 100K")</f>
        <v>Under 45K</v>
      </c>
      <c r="P507" s="2" t="s">
        <v>47</v>
      </c>
    </row>
    <row r="508" spans="1:16">
      <c r="A508" s="2" t="s">
        <v>1056</v>
      </c>
      <c r="B508" s="2" t="s">
        <v>1057</v>
      </c>
      <c r="C508" s="2" t="s">
        <v>1041</v>
      </c>
      <c r="D508" s="2" t="s">
        <v>19</v>
      </c>
      <c r="E508" s="2">
        <v>1.288375</v>
      </c>
      <c r="F508" s="3">
        <v>12</v>
      </c>
      <c r="G508" s="3">
        <v>11.9</v>
      </c>
      <c r="H508" s="3">
        <v>0</v>
      </c>
      <c r="I508" s="3">
        <v>0</v>
      </c>
      <c r="J508" s="3">
        <v>-0.1</v>
      </c>
      <c r="K508" s="3">
        <v>-0.6</v>
      </c>
      <c r="L508" s="3">
        <v>31.2</v>
      </c>
      <c r="M508" s="3">
        <v>1.9</v>
      </c>
      <c r="N508" s="4">
        <v>49210</v>
      </c>
      <c r="O508" s="4" t="str" cm="1">
        <f t="array" ref="O508">_xlfn.IFS(N508&lt;45000,"Under 45K",N508&lt;75000,"45K - 75K",N508&lt;100000,"75K - 100K",N508&gt;=100000,"Over 100K")</f>
        <v>45K - 75K</v>
      </c>
      <c r="P508" s="2" t="s">
        <v>23</v>
      </c>
    </row>
    <row r="509" spans="1:16">
      <c r="A509" s="2" t="s">
        <v>1058</v>
      </c>
      <c r="B509" s="2" t="s">
        <v>1059</v>
      </c>
      <c r="C509" s="2" t="s">
        <v>1041</v>
      </c>
      <c r="D509" s="2" t="s">
        <v>19</v>
      </c>
      <c r="E509" s="2">
        <v>1.2719910000000001</v>
      </c>
      <c r="F509" s="3">
        <v>166.9</v>
      </c>
      <c r="G509" s="3">
        <v>149.4</v>
      </c>
      <c r="H509" s="3">
        <v>0.1</v>
      </c>
      <c r="I509" s="3">
        <v>0.1</v>
      </c>
      <c r="J509" s="3">
        <v>-17.5</v>
      </c>
      <c r="K509" s="3">
        <v>-10.5</v>
      </c>
      <c r="L509" s="3">
        <v>0.2</v>
      </c>
      <c r="M509" s="3">
        <v>13.7</v>
      </c>
      <c r="N509" s="4">
        <v>46040</v>
      </c>
      <c r="O509" s="4" t="str" cm="1">
        <f t="array" ref="O509">_xlfn.IFS(N509&lt;45000,"Under 45K",N509&lt;75000,"45K - 75K",N509&lt;100000,"75K - 100K",N509&gt;=100000,"Over 100K")</f>
        <v>45K - 75K</v>
      </c>
      <c r="P509" s="2" t="s">
        <v>47</v>
      </c>
    </row>
    <row r="510" spans="1:16">
      <c r="A510" s="2" t="s">
        <v>1060</v>
      </c>
      <c r="B510" s="2" t="s">
        <v>1061</v>
      </c>
      <c r="C510" s="2" t="s">
        <v>1041</v>
      </c>
      <c r="D510" s="2" t="s">
        <v>19</v>
      </c>
      <c r="E510" s="2">
        <v>1.2576320000000001</v>
      </c>
      <c r="F510" s="3">
        <v>161.1</v>
      </c>
      <c r="G510" s="3">
        <v>134.19999999999999</v>
      </c>
      <c r="H510" s="3">
        <v>0.1</v>
      </c>
      <c r="I510" s="3">
        <v>0.1</v>
      </c>
      <c r="J510" s="3">
        <v>-27</v>
      </c>
      <c r="K510" s="3">
        <v>-16.7</v>
      </c>
      <c r="L510" s="3">
        <v>0.9</v>
      </c>
      <c r="M510" s="3">
        <v>13</v>
      </c>
      <c r="N510" s="4">
        <v>55290</v>
      </c>
      <c r="O510" s="4" t="str" cm="1">
        <f t="array" ref="O510">_xlfn.IFS(N510&lt;45000,"Under 45K",N510&lt;75000,"45K - 75K",N510&lt;100000,"75K - 100K",N510&gt;=100000,"Over 100K")</f>
        <v>45K - 75K</v>
      </c>
      <c r="P510" s="2" t="s">
        <v>47</v>
      </c>
    </row>
    <row r="511" spans="1:16">
      <c r="A511" s="2" t="s">
        <v>1062</v>
      </c>
      <c r="B511" s="2" t="s">
        <v>1063</v>
      </c>
      <c r="C511" s="2" t="s">
        <v>1041</v>
      </c>
      <c r="D511" s="2" t="s">
        <v>19</v>
      </c>
      <c r="E511" s="2">
        <v>1.2402010000000001</v>
      </c>
      <c r="F511" s="3">
        <v>256.7</v>
      </c>
      <c r="G511" s="3">
        <v>247.2</v>
      </c>
      <c r="H511" s="3">
        <v>0.2</v>
      </c>
      <c r="I511" s="3">
        <v>0.1</v>
      </c>
      <c r="J511" s="3">
        <v>-9.5</v>
      </c>
      <c r="K511" s="3">
        <v>-3.7</v>
      </c>
      <c r="L511" s="3">
        <v>0.5</v>
      </c>
      <c r="M511" s="3">
        <v>20.3</v>
      </c>
      <c r="N511" s="4">
        <v>48450</v>
      </c>
      <c r="O511" s="4" t="str" cm="1">
        <f t="array" ref="O511">_xlfn.IFS(N511&lt;45000,"Under 45K",N511&lt;75000,"45K - 75K",N511&lt;100000,"75K - 100K",N511&gt;=100000,"Over 100K")</f>
        <v>45K - 75K</v>
      </c>
      <c r="P511" s="2" t="s">
        <v>47</v>
      </c>
    </row>
    <row r="512" spans="1:16">
      <c r="A512" s="2" t="s">
        <v>1064</v>
      </c>
      <c r="B512" s="2" t="s">
        <v>1065</v>
      </c>
      <c r="C512" s="2" t="s">
        <v>1041</v>
      </c>
      <c r="D512" s="2" t="s">
        <v>19</v>
      </c>
      <c r="E512" s="2">
        <v>1.234523</v>
      </c>
      <c r="F512" s="3">
        <v>218.7</v>
      </c>
      <c r="G512" s="3">
        <v>216.7</v>
      </c>
      <c r="H512" s="3">
        <v>0.1</v>
      </c>
      <c r="I512" s="3">
        <v>0.1</v>
      </c>
      <c r="J512" s="3">
        <v>-2.1</v>
      </c>
      <c r="K512" s="3">
        <v>-0.9</v>
      </c>
      <c r="L512" s="3">
        <v>2.7</v>
      </c>
      <c r="M512" s="3">
        <v>18.5</v>
      </c>
      <c r="N512" s="4">
        <v>48880</v>
      </c>
      <c r="O512" s="4" t="str" cm="1">
        <f t="array" ref="O512">_xlfn.IFS(N512&lt;45000,"Under 45K",N512&lt;75000,"45K - 75K",N512&lt;100000,"75K - 100K",N512&gt;=100000,"Over 100K")</f>
        <v>45K - 75K</v>
      </c>
      <c r="P512" s="2" t="s">
        <v>47</v>
      </c>
    </row>
    <row r="513" spans="1:16">
      <c r="A513" s="2" t="s">
        <v>1066</v>
      </c>
      <c r="B513" s="2" t="s">
        <v>1067</v>
      </c>
      <c r="C513" s="2" t="s">
        <v>1041</v>
      </c>
      <c r="D513" s="2" t="s">
        <v>19</v>
      </c>
      <c r="E513" s="2">
        <v>1.226286</v>
      </c>
      <c r="F513" s="3">
        <v>166.8</v>
      </c>
      <c r="G513" s="3">
        <v>168.5</v>
      </c>
      <c r="H513" s="3">
        <v>0.1</v>
      </c>
      <c r="I513" s="3">
        <v>0.1</v>
      </c>
      <c r="J513" s="3">
        <v>1.7</v>
      </c>
      <c r="K513" s="3">
        <v>1</v>
      </c>
      <c r="L513" s="3">
        <v>0.3</v>
      </c>
      <c r="M513" s="3">
        <v>14</v>
      </c>
      <c r="N513" s="4">
        <v>51500</v>
      </c>
      <c r="O513" s="4" t="str" cm="1">
        <f t="array" ref="O513">_xlfn.IFS(N513&lt;45000,"Under 45K",N513&lt;75000,"45K - 75K",N513&lt;100000,"75K - 100K",N513&gt;=100000,"Over 100K")</f>
        <v>45K - 75K</v>
      </c>
      <c r="P513" s="2" t="s">
        <v>47</v>
      </c>
    </row>
    <row r="514" spans="1:16">
      <c r="A514" s="2" t="s">
        <v>1068</v>
      </c>
      <c r="B514" s="2" t="s">
        <v>1069</v>
      </c>
      <c r="C514" s="2" t="s">
        <v>1041</v>
      </c>
      <c r="D514" s="2" t="s">
        <v>19</v>
      </c>
      <c r="E514" s="2">
        <v>1.2179819999999999</v>
      </c>
      <c r="F514" s="3">
        <v>850</v>
      </c>
      <c r="G514" s="3">
        <v>885.3</v>
      </c>
      <c r="H514" s="3">
        <v>0.5</v>
      </c>
      <c r="I514" s="3">
        <v>0.5</v>
      </c>
      <c r="J514" s="3">
        <v>35.299999999999997</v>
      </c>
      <c r="K514" s="3">
        <v>4.2</v>
      </c>
      <c r="L514" s="3">
        <v>0</v>
      </c>
      <c r="M514" s="3">
        <v>85.9</v>
      </c>
      <c r="N514" s="4">
        <v>44640</v>
      </c>
      <c r="O514" s="4" t="str" cm="1">
        <f t="array" ref="O514">_xlfn.IFS(N514&lt;45000,"Under 45K",N514&lt;75000,"45K - 75K",N514&lt;100000,"75K - 100K",N514&gt;=100000,"Over 100K")</f>
        <v>Under 45K</v>
      </c>
      <c r="P514" s="2" t="s">
        <v>47</v>
      </c>
    </row>
    <row r="515" spans="1:16">
      <c r="A515" s="2" t="s">
        <v>1070</v>
      </c>
      <c r="B515" s="2" t="s">
        <v>1071</v>
      </c>
      <c r="C515" s="2" t="s">
        <v>1041</v>
      </c>
      <c r="D515" s="2" t="s">
        <v>19</v>
      </c>
      <c r="E515" s="2">
        <v>1.174998</v>
      </c>
      <c r="F515" s="3">
        <v>38.9</v>
      </c>
      <c r="G515" s="3">
        <v>33.799999999999997</v>
      </c>
      <c r="H515" s="3">
        <v>0</v>
      </c>
      <c r="I515" s="3">
        <v>0</v>
      </c>
      <c r="J515" s="3">
        <v>-5.2</v>
      </c>
      <c r="K515" s="3">
        <v>-13.2</v>
      </c>
      <c r="L515" s="3" t="s">
        <v>30</v>
      </c>
      <c r="M515" s="3">
        <v>2.2999999999999998</v>
      </c>
      <c r="N515" s="4">
        <v>46610</v>
      </c>
      <c r="O515" s="4" t="str" cm="1">
        <f t="array" ref="O515">_xlfn.IFS(N515&lt;45000,"Under 45K",N515&lt;75000,"45K - 75K",N515&lt;100000,"75K - 100K",N515&gt;=100000,"Over 100K")</f>
        <v>45K - 75K</v>
      </c>
      <c r="P515" s="2" t="s">
        <v>47</v>
      </c>
    </row>
    <row r="516" spans="1:16">
      <c r="A516" s="2" t="s">
        <v>1072</v>
      </c>
      <c r="B516" s="2" t="s">
        <v>1073</v>
      </c>
      <c r="C516" s="2" t="s">
        <v>1041</v>
      </c>
      <c r="D516" s="2" t="s">
        <v>19</v>
      </c>
      <c r="E516" s="2">
        <v>1.1662669999999999</v>
      </c>
      <c r="F516" s="3">
        <v>180.4</v>
      </c>
      <c r="G516" s="3">
        <v>185.9</v>
      </c>
      <c r="H516" s="3">
        <v>0.1</v>
      </c>
      <c r="I516" s="3">
        <v>0.1</v>
      </c>
      <c r="J516" s="3">
        <v>5.5</v>
      </c>
      <c r="K516" s="3">
        <v>3</v>
      </c>
      <c r="L516" s="3">
        <v>1</v>
      </c>
      <c r="M516" s="3">
        <v>18.5</v>
      </c>
      <c r="N516" s="4">
        <v>47700</v>
      </c>
      <c r="O516" s="4" t="str" cm="1">
        <f t="array" ref="O516">_xlfn.IFS(N516&lt;45000,"Under 45K",N516&lt;75000,"45K - 75K",N516&lt;100000,"75K - 100K",N516&gt;=100000,"Over 100K")</f>
        <v>45K - 75K</v>
      </c>
      <c r="P516" s="2" t="s">
        <v>47</v>
      </c>
    </row>
    <row r="517" spans="1:16">
      <c r="A517" s="2" t="s">
        <v>1074</v>
      </c>
      <c r="B517" s="2" t="s">
        <v>1075</v>
      </c>
      <c r="C517" s="2" t="s">
        <v>1041</v>
      </c>
      <c r="D517" s="2" t="s">
        <v>19</v>
      </c>
      <c r="E517" s="2">
        <v>1.1497580000000001</v>
      </c>
      <c r="F517" s="3">
        <v>6.9</v>
      </c>
      <c r="G517" s="3">
        <v>6.5</v>
      </c>
      <c r="H517" s="3">
        <v>0</v>
      </c>
      <c r="I517" s="3">
        <v>0</v>
      </c>
      <c r="J517" s="3">
        <v>-0.4</v>
      </c>
      <c r="K517" s="3">
        <v>-5.6</v>
      </c>
      <c r="L517" s="3">
        <v>5.0999999999999996</v>
      </c>
      <c r="M517" s="3">
        <v>0.7</v>
      </c>
      <c r="N517" s="4">
        <v>46740</v>
      </c>
      <c r="O517" s="4" t="str" cm="1">
        <f t="array" ref="O517">_xlfn.IFS(N517&lt;45000,"Under 45K",N517&lt;75000,"45K - 75K",N517&lt;100000,"75K - 100K",N517&gt;=100000,"Over 100K")</f>
        <v>45K - 75K</v>
      </c>
      <c r="P517" s="2" t="s">
        <v>47</v>
      </c>
    </row>
    <row r="518" spans="1:16">
      <c r="A518" s="2" t="s">
        <v>1076</v>
      </c>
      <c r="B518" s="2" t="s">
        <v>1077</v>
      </c>
      <c r="C518" s="2" t="s">
        <v>1041</v>
      </c>
      <c r="D518" s="2" t="s">
        <v>19</v>
      </c>
      <c r="E518" s="2">
        <v>1.1448769999999999</v>
      </c>
      <c r="F518" s="3">
        <v>40.799999999999997</v>
      </c>
      <c r="G518" s="3">
        <v>36.9</v>
      </c>
      <c r="H518" s="3">
        <v>0</v>
      </c>
      <c r="I518" s="3">
        <v>0</v>
      </c>
      <c r="J518" s="3">
        <v>-3.9</v>
      </c>
      <c r="K518" s="3">
        <v>-9.5</v>
      </c>
      <c r="L518" s="3" t="s">
        <v>30</v>
      </c>
      <c r="M518" s="3">
        <v>4.0999999999999996</v>
      </c>
      <c r="N518" s="4">
        <v>62940</v>
      </c>
      <c r="O518" s="4" t="str" cm="1">
        <f t="array" ref="O518">_xlfn.IFS(N518&lt;45000,"Under 45K",N518&lt;75000,"45K - 75K",N518&lt;100000,"75K - 100K",N518&gt;=100000,"Over 100K")</f>
        <v>45K - 75K</v>
      </c>
      <c r="P518" s="2" t="s">
        <v>47</v>
      </c>
    </row>
    <row r="519" spans="1:16">
      <c r="A519" s="2" t="s">
        <v>1078</v>
      </c>
      <c r="B519" s="2" t="s">
        <v>1079</v>
      </c>
      <c r="C519" s="2" t="s">
        <v>1041</v>
      </c>
      <c r="D519" s="2" t="s">
        <v>19</v>
      </c>
      <c r="E519" s="2">
        <v>1.099056</v>
      </c>
      <c r="F519" s="3">
        <v>1944</v>
      </c>
      <c r="G519" s="3">
        <v>1913.2</v>
      </c>
      <c r="H519" s="3">
        <v>1.1000000000000001</v>
      </c>
      <c r="I519" s="3">
        <v>1.1000000000000001</v>
      </c>
      <c r="J519" s="3">
        <v>-30.8</v>
      </c>
      <c r="K519" s="3">
        <v>-1.6</v>
      </c>
      <c r="L519" s="3">
        <v>1.9</v>
      </c>
      <c r="M519" s="3">
        <v>202.8</v>
      </c>
      <c r="N519" s="4">
        <v>46290</v>
      </c>
      <c r="O519" s="4" t="str" cm="1">
        <f t="array" ref="O519">_xlfn.IFS(N519&lt;45000,"Under 45K",N519&lt;75000,"45K - 75K",N519&lt;100000,"75K - 100K",N519&gt;=100000,"Over 100K")</f>
        <v>45K - 75K</v>
      </c>
      <c r="P519" s="2" t="s">
        <v>47</v>
      </c>
    </row>
    <row r="520" spans="1:16">
      <c r="A520" s="2" t="s">
        <v>1080</v>
      </c>
      <c r="B520" s="2" t="s">
        <v>1081</v>
      </c>
      <c r="C520" s="2" t="s">
        <v>1041</v>
      </c>
      <c r="D520" s="2" t="s">
        <v>19</v>
      </c>
      <c r="E520" s="2">
        <v>1.0796429999999999</v>
      </c>
      <c r="F520" s="3">
        <v>502.8</v>
      </c>
      <c r="G520" s="3">
        <v>494.9</v>
      </c>
      <c r="H520" s="3">
        <v>0.3</v>
      </c>
      <c r="I520" s="3">
        <v>0.3</v>
      </c>
      <c r="J520" s="3">
        <v>-7.9</v>
      </c>
      <c r="K520" s="3">
        <v>-1.6</v>
      </c>
      <c r="L520" s="3">
        <v>0.2</v>
      </c>
      <c r="M520" s="3">
        <v>50</v>
      </c>
      <c r="N520" s="4">
        <v>74260</v>
      </c>
      <c r="O520" s="4" t="str" cm="1">
        <f t="array" ref="O520">_xlfn.IFS(N520&lt;45000,"Under 45K",N520&lt;75000,"45K - 75K",N520&lt;100000,"75K - 100K",N520&gt;=100000,"Over 100K")</f>
        <v>45K - 75K</v>
      </c>
      <c r="P520" s="2" t="s">
        <v>47</v>
      </c>
    </row>
    <row r="521" spans="1:16">
      <c r="A521" s="2" t="s">
        <v>1082</v>
      </c>
      <c r="B521" s="2" t="s">
        <v>1083</v>
      </c>
      <c r="C521" s="2" t="s">
        <v>1041</v>
      </c>
      <c r="D521" s="2" t="s">
        <v>19</v>
      </c>
      <c r="E521" s="2">
        <v>1.039749</v>
      </c>
      <c r="F521" s="3">
        <v>1613.4</v>
      </c>
      <c r="G521" s="3">
        <v>1519.1</v>
      </c>
      <c r="H521" s="3">
        <v>0.9</v>
      </c>
      <c r="I521" s="3">
        <v>0.9</v>
      </c>
      <c r="J521" s="3">
        <v>-94.3</v>
      </c>
      <c r="K521" s="3">
        <v>-5.8</v>
      </c>
      <c r="L521" s="3">
        <v>5.2</v>
      </c>
      <c r="M521" s="3">
        <v>170</v>
      </c>
      <c r="N521" s="4">
        <v>49210</v>
      </c>
      <c r="O521" s="4" t="str" cm="1">
        <f t="array" ref="O521">_xlfn.IFS(N521&lt;45000,"Under 45K",N521&lt;75000,"45K - 75K",N521&lt;100000,"75K - 100K",N521&gt;=100000,"Over 100K")</f>
        <v>45K - 75K</v>
      </c>
      <c r="P521" s="2" t="s">
        <v>185</v>
      </c>
    </row>
    <row r="522" spans="1:16">
      <c r="A522" s="2" t="s">
        <v>1084</v>
      </c>
      <c r="B522" s="2" t="s">
        <v>1085</v>
      </c>
      <c r="C522" s="2" t="s">
        <v>1041</v>
      </c>
      <c r="D522" s="2" t="s">
        <v>19</v>
      </c>
      <c r="E522" s="2">
        <v>1.0386880000000001</v>
      </c>
      <c r="F522" s="3">
        <v>1558.4</v>
      </c>
      <c r="G522" s="3">
        <v>1554.4</v>
      </c>
      <c r="H522" s="3">
        <v>0.9</v>
      </c>
      <c r="I522" s="3">
        <v>0.9</v>
      </c>
      <c r="J522" s="3">
        <v>-3.9</v>
      </c>
      <c r="K522" s="3">
        <v>-0.3</v>
      </c>
      <c r="L522" s="3">
        <v>0.7</v>
      </c>
      <c r="M522" s="3">
        <v>144.5</v>
      </c>
      <c r="N522" s="4">
        <v>66140</v>
      </c>
      <c r="O522" s="4" t="str" cm="1">
        <f t="array" ref="O522">_xlfn.IFS(N522&lt;45000,"Under 45K",N522&lt;75000,"45K - 75K",N522&lt;100000,"75K - 100K",N522&gt;=100000,"Over 100K")</f>
        <v>45K - 75K</v>
      </c>
      <c r="P522" s="2" t="s">
        <v>47</v>
      </c>
    </row>
    <row r="523" spans="1:16">
      <c r="A523" s="2" t="s">
        <v>1086</v>
      </c>
      <c r="B523" s="2" t="s">
        <v>1087</v>
      </c>
      <c r="C523" s="2" t="s">
        <v>1041</v>
      </c>
      <c r="D523" s="2" t="s">
        <v>19</v>
      </c>
      <c r="E523" s="2">
        <v>1.019712</v>
      </c>
      <c r="F523" s="3">
        <v>4</v>
      </c>
      <c r="G523" s="3">
        <v>2.9</v>
      </c>
      <c r="H523" s="3">
        <v>0</v>
      </c>
      <c r="I523" s="3">
        <v>0</v>
      </c>
      <c r="J523" s="3">
        <v>-1.1000000000000001</v>
      </c>
      <c r="K523" s="3">
        <v>-27.5</v>
      </c>
      <c r="L523" s="3" t="s">
        <v>30</v>
      </c>
      <c r="M523" s="3">
        <v>0.3</v>
      </c>
      <c r="N523" s="4">
        <v>39130</v>
      </c>
      <c r="O523" s="4" t="str" cm="1">
        <f t="array" ref="O523">_xlfn.IFS(N523&lt;45000,"Under 45K",N523&lt;75000,"45K - 75K",N523&lt;100000,"75K - 100K",N523&gt;=100000,"Over 100K")</f>
        <v>Under 45K</v>
      </c>
      <c r="P523" s="2" t="s">
        <v>47</v>
      </c>
    </row>
    <row r="524" spans="1:16">
      <c r="A524" s="2" t="s">
        <v>1088</v>
      </c>
      <c r="B524" s="2" t="s">
        <v>1089</v>
      </c>
      <c r="C524" s="2" t="s">
        <v>1041</v>
      </c>
      <c r="D524" s="2" t="s">
        <v>19</v>
      </c>
      <c r="E524" s="2">
        <v>1.0145409999999999</v>
      </c>
      <c r="F524" s="3">
        <v>156.30000000000001</v>
      </c>
      <c r="G524" s="3">
        <v>147.30000000000001</v>
      </c>
      <c r="H524" s="3">
        <v>0.1</v>
      </c>
      <c r="I524" s="3">
        <v>0.1</v>
      </c>
      <c r="J524" s="3">
        <v>-9</v>
      </c>
      <c r="K524" s="3">
        <v>-5.8</v>
      </c>
      <c r="L524" s="3">
        <v>0.5</v>
      </c>
      <c r="M524" s="3">
        <v>19.600000000000001</v>
      </c>
      <c r="N524" s="4">
        <v>54140</v>
      </c>
      <c r="O524" s="4" t="str" cm="1">
        <f t="array" ref="O524">_xlfn.IFS(N524&lt;45000,"Under 45K",N524&lt;75000,"45K - 75K",N524&lt;100000,"75K - 100K",N524&gt;=100000,"Over 100K")</f>
        <v>45K - 75K</v>
      </c>
      <c r="P524" s="2" t="s">
        <v>47</v>
      </c>
    </row>
    <row r="525" spans="1:16">
      <c r="A525" s="2" t="s">
        <v>1090</v>
      </c>
      <c r="B525" s="2" t="s">
        <v>1091</v>
      </c>
      <c r="C525" s="2" t="s">
        <v>1041</v>
      </c>
      <c r="D525" s="2" t="s">
        <v>19</v>
      </c>
      <c r="E525" s="2">
        <v>1.0131859999999999</v>
      </c>
      <c r="F525" s="3">
        <v>1007.2</v>
      </c>
      <c r="G525" s="3">
        <v>1007.6</v>
      </c>
      <c r="H525" s="3">
        <v>0.6</v>
      </c>
      <c r="I525" s="3">
        <v>0.6</v>
      </c>
      <c r="J525" s="3">
        <v>0.3</v>
      </c>
      <c r="K525" s="3">
        <v>0</v>
      </c>
      <c r="L525" s="3">
        <v>0.6</v>
      </c>
      <c r="M525" s="3">
        <v>128.5</v>
      </c>
      <c r="N525" s="4">
        <v>37230</v>
      </c>
      <c r="O525" s="4" t="str" cm="1">
        <f t="array" ref="O525">_xlfn.IFS(N525&lt;45000,"Under 45K",N525&lt;75000,"45K - 75K",N525&lt;100000,"75K - 100K",N525&gt;=100000,"Over 100K")</f>
        <v>Under 45K</v>
      </c>
      <c r="P525" s="2" t="s">
        <v>47</v>
      </c>
    </row>
    <row r="526" spans="1:16">
      <c r="A526" s="2" t="s">
        <v>1092</v>
      </c>
      <c r="B526" s="2" t="s">
        <v>1093</v>
      </c>
      <c r="C526" s="2" t="s">
        <v>1041</v>
      </c>
      <c r="D526" s="2" t="s">
        <v>19</v>
      </c>
      <c r="E526" s="2">
        <v>0.98889859999999996</v>
      </c>
      <c r="F526" s="3">
        <v>2646</v>
      </c>
      <c r="G526" s="3">
        <v>2468.1999999999998</v>
      </c>
      <c r="H526" s="3">
        <v>1.6</v>
      </c>
      <c r="I526" s="3">
        <v>1.4</v>
      </c>
      <c r="J526" s="3">
        <v>-177.8</v>
      </c>
      <c r="K526" s="3">
        <v>-6.7</v>
      </c>
      <c r="L526" s="3">
        <v>0.5</v>
      </c>
      <c r="M526" s="3">
        <v>282.39999999999998</v>
      </c>
      <c r="N526" s="4">
        <v>43630</v>
      </c>
      <c r="O526" s="4" t="str" cm="1">
        <f t="array" ref="O526">_xlfn.IFS(N526&lt;45000,"Under 45K",N526&lt;75000,"45K - 75K",N526&lt;100000,"75K - 100K",N526&gt;=100000,"Over 100K")</f>
        <v>Under 45K</v>
      </c>
      <c r="P526" s="2" t="s">
        <v>47</v>
      </c>
    </row>
    <row r="527" spans="1:16">
      <c r="A527" s="2" t="s">
        <v>1094</v>
      </c>
      <c r="B527" s="2" t="s">
        <v>1095</v>
      </c>
      <c r="C527" s="2" t="s">
        <v>1041</v>
      </c>
      <c r="D527" s="2" t="s">
        <v>19</v>
      </c>
      <c r="E527" s="2">
        <v>0.98326440000000004</v>
      </c>
      <c r="F527" s="3">
        <v>36.6</v>
      </c>
      <c r="G527" s="3">
        <v>27</v>
      </c>
      <c r="H527" s="3">
        <v>0</v>
      </c>
      <c r="I527" s="3">
        <v>0</v>
      </c>
      <c r="J527" s="3">
        <v>-9.6</v>
      </c>
      <c r="K527" s="3">
        <v>-26.3</v>
      </c>
      <c r="L527" s="3" t="s">
        <v>30</v>
      </c>
      <c r="M527" s="3">
        <v>2.8</v>
      </c>
      <c r="N527" s="4">
        <v>38370</v>
      </c>
      <c r="O527" s="4" t="str" cm="1">
        <f t="array" ref="O527">_xlfn.IFS(N527&lt;45000,"Under 45K",N527&lt;75000,"45K - 75K",N527&lt;100000,"75K - 100K",N527&gt;=100000,"Over 100K")</f>
        <v>Under 45K</v>
      </c>
      <c r="P527" s="2" t="s">
        <v>47</v>
      </c>
    </row>
    <row r="528" spans="1:16">
      <c r="A528" s="2" t="s">
        <v>1096</v>
      </c>
      <c r="B528" s="2" t="s">
        <v>1097</v>
      </c>
      <c r="C528" s="2" t="s">
        <v>1041</v>
      </c>
      <c r="D528" s="2" t="s">
        <v>19</v>
      </c>
      <c r="E528" s="2">
        <v>0.95625190000000004</v>
      </c>
      <c r="F528" s="3">
        <v>2814</v>
      </c>
      <c r="G528" s="3">
        <v>2660.3</v>
      </c>
      <c r="H528" s="3">
        <v>1.7</v>
      </c>
      <c r="I528" s="3">
        <v>1.5</v>
      </c>
      <c r="J528" s="3">
        <v>-153.69999999999999</v>
      </c>
      <c r="K528" s="3">
        <v>-5.5</v>
      </c>
      <c r="L528" s="3">
        <v>0.8</v>
      </c>
      <c r="M528" s="3">
        <v>341.7</v>
      </c>
      <c r="N528" s="4">
        <v>42830</v>
      </c>
      <c r="O528" s="4" t="str" cm="1">
        <f t="array" ref="O528">_xlfn.IFS(N528&lt;45000,"Under 45K",N528&lt;75000,"45K - 75K",N528&lt;100000,"75K - 100K",N528&gt;=100000,"Over 100K")</f>
        <v>Under 45K</v>
      </c>
      <c r="P528" s="2" t="s">
        <v>47</v>
      </c>
    </row>
    <row r="529" spans="1:16">
      <c r="A529" s="2" t="s">
        <v>1098</v>
      </c>
      <c r="B529" s="2" t="s">
        <v>1099</v>
      </c>
      <c r="C529" s="2" t="s">
        <v>1041</v>
      </c>
      <c r="D529" s="2" t="s">
        <v>19</v>
      </c>
      <c r="E529" s="2">
        <v>0.90744519999999995</v>
      </c>
      <c r="F529" s="3">
        <v>105.2</v>
      </c>
      <c r="G529" s="3">
        <v>108.9</v>
      </c>
      <c r="H529" s="3">
        <v>0.1</v>
      </c>
      <c r="I529" s="3">
        <v>0.1</v>
      </c>
      <c r="J529" s="3">
        <v>3.6</v>
      </c>
      <c r="K529" s="3">
        <v>3.5</v>
      </c>
      <c r="L529" s="3" t="s">
        <v>30</v>
      </c>
      <c r="M529" s="3">
        <v>10.7</v>
      </c>
      <c r="N529" s="4">
        <v>50730</v>
      </c>
      <c r="O529" s="4" t="str" cm="1">
        <f t="array" ref="O529">_xlfn.IFS(N529&lt;45000,"Under 45K",N529&lt;75000,"45K - 75K",N529&lt;100000,"75K - 100K",N529&gt;=100000,"Over 100K")</f>
        <v>45K - 75K</v>
      </c>
      <c r="P529" s="2" t="s">
        <v>47</v>
      </c>
    </row>
    <row r="530" spans="1:16">
      <c r="A530" s="2" t="s">
        <v>1100</v>
      </c>
      <c r="B530" s="2" t="s">
        <v>1101</v>
      </c>
      <c r="C530" s="2" t="s">
        <v>1041</v>
      </c>
      <c r="D530" s="2" t="s">
        <v>19</v>
      </c>
      <c r="E530" s="2">
        <v>0.83888609999999997</v>
      </c>
      <c r="F530" s="3">
        <v>89.5</v>
      </c>
      <c r="G530" s="3">
        <v>74.099999999999994</v>
      </c>
      <c r="H530" s="3">
        <v>0.1</v>
      </c>
      <c r="I530" s="3">
        <v>0</v>
      </c>
      <c r="J530" s="3">
        <v>-15.4</v>
      </c>
      <c r="K530" s="3">
        <v>-17.2</v>
      </c>
      <c r="L530" s="3">
        <v>5.5</v>
      </c>
      <c r="M530" s="3">
        <v>8</v>
      </c>
      <c r="N530" s="4">
        <v>44660</v>
      </c>
      <c r="O530" s="4" t="str" cm="1">
        <f t="array" ref="O530">_xlfn.IFS(N530&lt;45000,"Under 45K",N530&lt;75000,"45K - 75K",N530&lt;100000,"75K - 100K",N530&gt;=100000,"Over 100K")</f>
        <v>Under 45K</v>
      </c>
      <c r="P530" s="2" t="s">
        <v>185</v>
      </c>
    </row>
    <row r="531" spans="1:16">
      <c r="A531" s="2" t="s">
        <v>1102</v>
      </c>
      <c r="B531" s="2" t="s">
        <v>1103</v>
      </c>
      <c r="C531" s="2" t="s">
        <v>1041</v>
      </c>
      <c r="D531" s="2" t="s">
        <v>19</v>
      </c>
      <c r="E531" s="2">
        <v>0.69991029999999999</v>
      </c>
      <c r="F531" s="3">
        <v>388.8</v>
      </c>
      <c r="G531" s="3">
        <v>381.7</v>
      </c>
      <c r="H531" s="3">
        <v>0.2</v>
      </c>
      <c r="I531" s="3">
        <v>0.2</v>
      </c>
      <c r="J531" s="3">
        <v>-7.1</v>
      </c>
      <c r="K531" s="3">
        <v>-1.8</v>
      </c>
      <c r="L531" s="3" t="s">
        <v>30</v>
      </c>
      <c r="M531" s="3">
        <v>34.1</v>
      </c>
      <c r="N531" s="4">
        <v>57770</v>
      </c>
      <c r="O531" s="4" t="str" cm="1">
        <f t="array" ref="O531">_xlfn.IFS(N531&lt;45000,"Under 45K",N531&lt;75000,"45K - 75K",N531&lt;100000,"75K - 100K",N531&gt;=100000,"Over 100K")</f>
        <v>45K - 75K</v>
      </c>
      <c r="P531" s="2" t="s">
        <v>47</v>
      </c>
    </row>
    <row r="532" spans="1:16">
      <c r="A532" s="2" t="s">
        <v>1104</v>
      </c>
      <c r="B532" s="2" t="s">
        <v>1105</v>
      </c>
      <c r="C532" s="2" t="s">
        <v>1041</v>
      </c>
      <c r="D532" s="2" t="s">
        <v>19</v>
      </c>
      <c r="E532" s="2">
        <v>0.62196059999999997</v>
      </c>
      <c r="F532" s="3">
        <v>40</v>
      </c>
      <c r="G532" s="3">
        <v>25.6</v>
      </c>
      <c r="H532" s="3">
        <v>0</v>
      </c>
      <c r="I532" s="3">
        <v>0</v>
      </c>
      <c r="J532" s="3">
        <v>-14.4</v>
      </c>
      <c r="K532" s="3">
        <v>-36.1</v>
      </c>
      <c r="L532" s="3">
        <v>7.5</v>
      </c>
      <c r="M532" s="3">
        <v>2.2000000000000002</v>
      </c>
      <c r="N532" s="4">
        <v>47850</v>
      </c>
      <c r="O532" s="4" t="str" cm="1">
        <f t="array" ref="O532">_xlfn.IFS(N532&lt;45000,"Under 45K",N532&lt;75000,"45K - 75K",N532&lt;100000,"75K - 100K",N532&gt;=100000,"Over 100K")</f>
        <v>45K - 75K</v>
      </c>
      <c r="P532" s="2" t="s">
        <v>47</v>
      </c>
    </row>
    <row r="533" spans="1:16">
      <c r="A533" s="2" t="s">
        <v>1106</v>
      </c>
      <c r="B533" s="2" t="s">
        <v>1107</v>
      </c>
      <c r="C533" s="2" t="s">
        <v>1041</v>
      </c>
      <c r="D533" s="2" t="s">
        <v>19</v>
      </c>
      <c r="E533" s="2">
        <v>0.60631270000000004</v>
      </c>
      <c r="F533" s="3">
        <v>264.2</v>
      </c>
      <c r="G533" s="3">
        <v>274</v>
      </c>
      <c r="H533" s="3">
        <v>0.2</v>
      </c>
      <c r="I533" s="3">
        <v>0.2</v>
      </c>
      <c r="J533" s="3">
        <v>9.9</v>
      </c>
      <c r="K533" s="3">
        <v>3.7</v>
      </c>
      <c r="L533" s="3" t="s">
        <v>30</v>
      </c>
      <c r="M533" s="3">
        <v>43.6</v>
      </c>
      <c r="N533" s="4">
        <v>34270</v>
      </c>
      <c r="O533" s="4" t="str" cm="1">
        <f t="array" ref="O533">_xlfn.IFS(N533&lt;45000,"Under 45K",N533&lt;75000,"45K - 75K",N533&lt;100000,"75K - 100K",N533&gt;=100000,"Over 100K")</f>
        <v>Under 45K</v>
      </c>
      <c r="P533" s="2" t="s">
        <v>47</v>
      </c>
    </row>
    <row r="534" spans="1:16">
      <c r="A534" s="2" t="s">
        <v>1108</v>
      </c>
      <c r="B534" s="2" t="s">
        <v>1109</v>
      </c>
      <c r="C534" s="2" t="s">
        <v>1041</v>
      </c>
      <c r="D534" s="2" t="s">
        <v>19</v>
      </c>
      <c r="E534" s="2">
        <v>0.47277229999999998</v>
      </c>
      <c r="F534" s="3">
        <v>347.4</v>
      </c>
      <c r="G534" s="3">
        <v>302.5</v>
      </c>
      <c r="H534" s="3">
        <v>0.2</v>
      </c>
      <c r="I534" s="3">
        <v>0.2</v>
      </c>
      <c r="J534" s="3">
        <v>-44.9</v>
      </c>
      <c r="K534" s="3">
        <v>-12.9</v>
      </c>
      <c r="L534" s="3" t="s">
        <v>30</v>
      </c>
      <c r="M534" s="3">
        <v>29.8</v>
      </c>
      <c r="N534" s="4">
        <v>39340</v>
      </c>
      <c r="O534" s="4" t="str" cm="1">
        <f t="array" ref="O534">_xlfn.IFS(N534&lt;45000,"Under 45K",N534&lt;75000,"45K - 75K",N534&lt;100000,"75K - 100K",N534&gt;=100000,"Over 100K")</f>
        <v>Under 45K</v>
      </c>
      <c r="P534" s="2" t="s">
        <v>47</v>
      </c>
    </row>
    <row r="535" spans="1:16">
      <c r="A535" s="2" t="s">
        <v>1110</v>
      </c>
      <c r="B535" s="2" t="s">
        <v>1111</v>
      </c>
      <c r="C535" s="2" t="s">
        <v>1041</v>
      </c>
      <c r="D535" s="2" t="s">
        <v>19</v>
      </c>
      <c r="E535" s="2">
        <v>0.4026518</v>
      </c>
      <c r="F535" s="3">
        <v>14.1</v>
      </c>
      <c r="G535" s="3">
        <v>13.4</v>
      </c>
      <c r="H535" s="3">
        <v>0</v>
      </c>
      <c r="I535" s="3">
        <v>0</v>
      </c>
      <c r="J535" s="3">
        <v>-0.7</v>
      </c>
      <c r="K535" s="3">
        <v>-5</v>
      </c>
      <c r="L535" s="3">
        <v>1.6</v>
      </c>
      <c r="M535" s="3">
        <v>1.3</v>
      </c>
      <c r="N535" s="4">
        <v>36990</v>
      </c>
      <c r="O535" s="4" t="str" cm="1">
        <f t="array" ref="O535">_xlfn.IFS(N535&lt;45000,"Under 45K",N535&lt;75000,"45K - 75K",N535&lt;100000,"75K - 100K",N535&gt;=100000,"Over 100K")</f>
        <v>Under 45K</v>
      </c>
      <c r="P535" s="2" t="s">
        <v>47</v>
      </c>
    </row>
    <row r="536" spans="1:16">
      <c r="A536" s="2" t="s">
        <v>1112</v>
      </c>
      <c r="B536" s="2" t="s">
        <v>1113</v>
      </c>
      <c r="C536" s="2" t="s">
        <v>1041</v>
      </c>
      <c r="D536" s="2" t="s">
        <v>19</v>
      </c>
      <c r="E536" s="2">
        <v>0.34377429999999998</v>
      </c>
      <c r="F536" s="3">
        <v>5</v>
      </c>
      <c r="G536" s="3">
        <v>4.4000000000000004</v>
      </c>
      <c r="H536" s="3">
        <v>0</v>
      </c>
      <c r="I536" s="3">
        <v>0</v>
      </c>
      <c r="J536" s="3">
        <v>-0.6</v>
      </c>
      <c r="K536" s="3">
        <v>-12.4</v>
      </c>
      <c r="L536" s="3">
        <v>16.8</v>
      </c>
      <c r="M536" s="3">
        <v>0.4</v>
      </c>
      <c r="N536" s="4">
        <v>53620</v>
      </c>
      <c r="O536" s="4" t="str" cm="1">
        <f t="array" ref="O536">_xlfn.IFS(N536&lt;45000,"Under 45K",N536&lt;75000,"45K - 75K",N536&lt;100000,"75K - 100K",N536&gt;=100000,"Over 100K")</f>
        <v>45K - 75K</v>
      </c>
      <c r="P536" s="2" t="s">
        <v>92</v>
      </c>
    </row>
    <row r="537" spans="1:16">
      <c r="A537" s="2" t="s">
        <v>1114</v>
      </c>
      <c r="B537" s="2" t="s">
        <v>1115</v>
      </c>
      <c r="C537" s="2" t="s">
        <v>1041</v>
      </c>
      <c r="D537" s="2" t="s">
        <v>19</v>
      </c>
      <c r="E537" s="2">
        <v>0.31080809999999998</v>
      </c>
      <c r="F537" s="3">
        <v>141.6</v>
      </c>
      <c r="G537" s="3">
        <v>104.9</v>
      </c>
      <c r="H537" s="3">
        <v>0.1</v>
      </c>
      <c r="I537" s="3">
        <v>0.1</v>
      </c>
      <c r="J537" s="3">
        <v>-36.700000000000003</v>
      </c>
      <c r="K537" s="3">
        <v>-25.9</v>
      </c>
      <c r="L537" s="3">
        <v>2.2000000000000002</v>
      </c>
      <c r="M537" s="3">
        <v>9.5</v>
      </c>
      <c r="N537" s="4">
        <v>39850</v>
      </c>
      <c r="O537" s="4" t="str" cm="1">
        <f t="array" ref="O537">_xlfn.IFS(N537&lt;45000,"Under 45K",N537&lt;75000,"45K - 75K",N537&lt;100000,"75K - 100K",N537&gt;=100000,"Over 100K")</f>
        <v>Under 45K</v>
      </c>
      <c r="P537" s="2" t="s">
        <v>47</v>
      </c>
    </row>
    <row r="538" spans="1:16">
      <c r="A538" s="2" t="s">
        <v>1116</v>
      </c>
      <c r="B538" s="2" t="s">
        <v>1117</v>
      </c>
      <c r="C538" s="2" t="s">
        <v>1041</v>
      </c>
      <c r="D538" s="2" t="s">
        <v>19</v>
      </c>
      <c r="E538" s="2">
        <v>0.28397430000000001</v>
      </c>
      <c r="F538" s="3">
        <v>84.3</v>
      </c>
      <c r="G538" s="3">
        <v>70.900000000000006</v>
      </c>
      <c r="H538" s="3">
        <v>0</v>
      </c>
      <c r="I538" s="3">
        <v>0</v>
      </c>
      <c r="J538" s="3">
        <v>-13.4</v>
      </c>
      <c r="K538" s="3">
        <v>-15.9</v>
      </c>
      <c r="L538" s="3">
        <v>2.9</v>
      </c>
      <c r="M538" s="3">
        <v>7.3</v>
      </c>
      <c r="N538" s="4">
        <v>41270</v>
      </c>
      <c r="O538" s="4" t="str" cm="1">
        <f t="array" ref="O538">_xlfn.IFS(N538&lt;45000,"Under 45K",N538&lt;75000,"45K - 75K",N538&lt;100000,"75K - 100K",N538&gt;=100000,"Over 100K")</f>
        <v>Under 45K</v>
      </c>
      <c r="P538" s="2" t="s">
        <v>47</v>
      </c>
    </row>
    <row r="539" spans="1:16">
      <c r="A539" s="2" t="s">
        <v>1118</v>
      </c>
      <c r="B539" s="2" t="s">
        <v>1119</v>
      </c>
      <c r="C539" s="2" t="s">
        <v>1041</v>
      </c>
      <c r="D539" s="2" t="s">
        <v>19</v>
      </c>
      <c r="E539" s="2">
        <v>0.22731199999999999</v>
      </c>
      <c r="F539" s="3">
        <v>131.9</v>
      </c>
      <c r="G539" s="3">
        <v>135.6</v>
      </c>
      <c r="H539" s="3">
        <v>0.1</v>
      </c>
      <c r="I539" s="3">
        <v>0.1</v>
      </c>
      <c r="J539" s="3">
        <v>3.7</v>
      </c>
      <c r="K539" s="3">
        <v>2.8</v>
      </c>
      <c r="L539" s="3">
        <v>3</v>
      </c>
      <c r="M539" s="3">
        <v>14.4</v>
      </c>
      <c r="N539" s="4">
        <v>41460</v>
      </c>
      <c r="O539" s="4" t="str" cm="1">
        <f t="array" ref="O539">_xlfn.IFS(N539&lt;45000,"Under 45K",N539&lt;75000,"45K - 75K",N539&lt;100000,"75K - 100K",N539&gt;=100000,"Over 100K")</f>
        <v>Under 45K</v>
      </c>
      <c r="P539" s="2" t="s">
        <v>47</v>
      </c>
    </row>
    <row r="540" spans="1:16">
      <c r="A540" s="2" t="s">
        <v>1120</v>
      </c>
      <c r="B540" s="2" t="s">
        <v>1121</v>
      </c>
      <c r="C540" s="2" t="s">
        <v>1041</v>
      </c>
      <c r="D540" s="2" t="s">
        <v>19</v>
      </c>
      <c r="E540" s="2">
        <v>0.20389189999999999</v>
      </c>
      <c r="F540" s="3">
        <v>84.5</v>
      </c>
      <c r="G540" s="3">
        <v>78.900000000000006</v>
      </c>
      <c r="H540" s="3">
        <v>0</v>
      </c>
      <c r="I540" s="3">
        <v>0</v>
      </c>
      <c r="J540" s="3">
        <v>-5.6</v>
      </c>
      <c r="K540" s="3">
        <v>-6.7</v>
      </c>
      <c r="L540" s="3" t="s">
        <v>30</v>
      </c>
      <c r="M540" s="3">
        <v>12.8</v>
      </c>
      <c r="N540" s="4">
        <v>36010</v>
      </c>
      <c r="O540" s="4" t="str" cm="1">
        <f t="array" ref="O540">_xlfn.IFS(N540&lt;45000,"Under 45K",N540&lt;75000,"45K - 75K",N540&lt;100000,"75K - 100K",N540&gt;=100000,"Over 100K")</f>
        <v>Under 45K</v>
      </c>
      <c r="P540" s="2" t="s">
        <v>47</v>
      </c>
    </row>
    <row r="541" spans="1:16">
      <c r="A541" s="2" t="s">
        <v>1122</v>
      </c>
      <c r="B541" s="2" t="s">
        <v>1123</v>
      </c>
      <c r="C541" s="2" t="s">
        <v>1041</v>
      </c>
      <c r="D541" s="2" t="s">
        <v>19</v>
      </c>
      <c r="E541" s="15">
        <v>0</v>
      </c>
      <c r="F541" s="3">
        <v>1.4</v>
      </c>
      <c r="G541" s="3">
        <v>1.5</v>
      </c>
      <c r="H541" s="3">
        <v>0</v>
      </c>
      <c r="I541" s="3">
        <v>0</v>
      </c>
      <c r="J541" s="3">
        <v>0</v>
      </c>
      <c r="K541" s="3">
        <v>2.5</v>
      </c>
      <c r="L541" s="3" t="s">
        <v>30</v>
      </c>
      <c r="M541" s="3">
        <v>0.1</v>
      </c>
      <c r="N541" s="4">
        <v>49910</v>
      </c>
      <c r="O541" s="4" t="str" cm="1">
        <f t="array" ref="O541">_xlfn.IFS(N541&lt;45000,"Under 45K",N541&lt;75000,"45K - 75K",N541&lt;100000,"75K - 100K",N541&gt;=100000,"Over 100K")</f>
        <v>45K - 75K</v>
      </c>
      <c r="P541" s="2" t="s">
        <v>47</v>
      </c>
    </row>
    <row r="542" spans="1:16">
      <c r="A542" s="2" t="s">
        <v>1124</v>
      </c>
      <c r="B542" s="2" t="s">
        <v>1125</v>
      </c>
      <c r="C542" s="2" t="s">
        <v>1041</v>
      </c>
      <c r="D542" s="2" t="s">
        <v>19</v>
      </c>
      <c r="E542" s="15">
        <v>0</v>
      </c>
      <c r="F542" s="3">
        <v>38.9</v>
      </c>
      <c r="G542" s="3">
        <v>39.4</v>
      </c>
      <c r="H542" s="3">
        <v>0</v>
      </c>
      <c r="I542" s="3">
        <v>0</v>
      </c>
      <c r="J542" s="3">
        <v>0.5</v>
      </c>
      <c r="K542" s="3">
        <v>1.4</v>
      </c>
      <c r="L542" s="3">
        <v>2.7</v>
      </c>
      <c r="M542" s="3">
        <v>4</v>
      </c>
      <c r="N542" s="4">
        <v>52150</v>
      </c>
      <c r="O542" s="4" t="str" cm="1">
        <f t="array" ref="O542">_xlfn.IFS(N542&lt;45000,"Under 45K",N542&lt;75000,"45K - 75K",N542&lt;100000,"75K - 100K",N542&gt;=100000,"Over 100K")</f>
        <v>45K - 75K</v>
      </c>
      <c r="P542" s="2" t="s">
        <v>47</v>
      </c>
    </row>
    <row r="543" spans="1:16">
      <c r="A543" s="2" t="s">
        <v>1126</v>
      </c>
      <c r="B543" s="2" t="s">
        <v>1127</v>
      </c>
      <c r="C543" s="2" t="s">
        <v>1041</v>
      </c>
      <c r="D543" s="2" t="s">
        <v>19</v>
      </c>
      <c r="E543" s="15">
        <v>0</v>
      </c>
      <c r="F543" s="3">
        <v>153.30000000000001</v>
      </c>
      <c r="G543" s="3">
        <v>153</v>
      </c>
      <c r="H543" s="3">
        <v>0.1</v>
      </c>
      <c r="I543" s="3">
        <v>0.1</v>
      </c>
      <c r="J543" s="3">
        <v>-0.3</v>
      </c>
      <c r="K543" s="3">
        <v>-0.2</v>
      </c>
      <c r="L543" s="3" t="s">
        <v>30</v>
      </c>
      <c r="M543" s="3">
        <v>17.8</v>
      </c>
      <c r="N543" s="4">
        <v>48360</v>
      </c>
      <c r="O543" s="4" t="str" cm="1">
        <f t="array" ref="O543">_xlfn.IFS(N543&lt;45000,"Under 45K",N543&lt;75000,"45K - 75K",N543&lt;100000,"75K - 100K",N543&gt;=100000,"Over 100K")</f>
        <v>45K - 75K</v>
      </c>
      <c r="P543" s="2" t="s">
        <v>47</v>
      </c>
    </row>
    <row r="544" spans="1:16">
      <c r="A544" s="2" t="s">
        <v>1128</v>
      </c>
      <c r="B544" s="2" t="s">
        <v>1129</v>
      </c>
      <c r="C544" s="2" t="s">
        <v>1041</v>
      </c>
      <c r="D544" s="2" t="s">
        <v>19</v>
      </c>
      <c r="E544" s="15">
        <v>0</v>
      </c>
      <c r="F544" s="3">
        <v>232.9</v>
      </c>
      <c r="G544" s="3">
        <v>214.8</v>
      </c>
      <c r="H544" s="3">
        <v>0.1</v>
      </c>
      <c r="I544" s="3">
        <v>0.1</v>
      </c>
      <c r="J544" s="3">
        <v>-18.100000000000001</v>
      </c>
      <c r="K544" s="3">
        <v>-7.8</v>
      </c>
      <c r="L544" s="3">
        <v>9.8000000000000007</v>
      </c>
      <c r="M544" s="3">
        <v>21.3</v>
      </c>
      <c r="N544" s="4">
        <v>46040</v>
      </c>
      <c r="O544" s="4" t="str" cm="1">
        <f t="array" ref="O544">_xlfn.IFS(N544&lt;45000,"Under 45K",N544&lt;75000,"45K - 75K",N544&lt;100000,"75K - 100K",N544&gt;=100000,"Over 100K")</f>
        <v>45K - 75K</v>
      </c>
      <c r="P544" s="2" t="s">
        <v>47</v>
      </c>
    </row>
    <row r="545" spans="1:16">
      <c r="A545" s="2" t="s">
        <v>1130</v>
      </c>
      <c r="B545" s="2" t="s">
        <v>1131</v>
      </c>
      <c r="C545" s="2" t="s">
        <v>1041</v>
      </c>
      <c r="D545" s="2" t="s">
        <v>19</v>
      </c>
      <c r="E545" s="2">
        <v>-0.18607889999999999</v>
      </c>
      <c r="F545" s="3">
        <v>49.8</v>
      </c>
      <c r="G545" s="3">
        <v>47.4</v>
      </c>
      <c r="H545" s="3">
        <v>0</v>
      </c>
      <c r="I545" s="3">
        <v>0</v>
      </c>
      <c r="J545" s="3">
        <v>-2.4</v>
      </c>
      <c r="K545" s="3">
        <v>-4.8</v>
      </c>
      <c r="L545" s="3">
        <v>0.4</v>
      </c>
      <c r="M545" s="3">
        <v>5.3</v>
      </c>
      <c r="N545" s="4">
        <v>45650</v>
      </c>
      <c r="O545" s="4" t="str" cm="1">
        <f t="array" ref="O545">_xlfn.IFS(N545&lt;45000,"Under 45K",N545&lt;75000,"45K - 75K",N545&lt;100000,"75K - 100K",N545&gt;=100000,"Over 100K")</f>
        <v>45K - 75K</v>
      </c>
      <c r="P545" s="2" t="s">
        <v>47</v>
      </c>
    </row>
    <row r="546" spans="1:16">
      <c r="A546" s="2" t="s">
        <v>1132</v>
      </c>
      <c r="B546" s="2" t="s">
        <v>1133</v>
      </c>
      <c r="C546" s="2" t="s">
        <v>1041</v>
      </c>
      <c r="D546" s="2" t="s">
        <v>19</v>
      </c>
      <c r="E546" s="2">
        <v>-0.51714039999999994</v>
      </c>
      <c r="F546" s="3">
        <v>25.5</v>
      </c>
      <c r="G546" s="3">
        <v>21.6</v>
      </c>
      <c r="H546" s="3">
        <v>0</v>
      </c>
      <c r="I546" s="3">
        <v>0</v>
      </c>
      <c r="J546" s="3">
        <v>-3.9</v>
      </c>
      <c r="K546" s="3">
        <v>-15.2</v>
      </c>
      <c r="L546" s="3" t="s">
        <v>30</v>
      </c>
      <c r="M546" s="3">
        <v>2.8</v>
      </c>
      <c r="N546" s="4">
        <v>39020</v>
      </c>
      <c r="O546" s="4" t="str" cm="1">
        <f t="array" ref="O546">_xlfn.IFS(N546&lt;45000,"Under 45K",N546&lt;75000,"45K - 75K",N546&lt;100000,"75K - 100K",N546&gt;=100000,"Over 100K")</f>
        <v>Under 45K</v>
      </c>
      <c r="P546" s="2" t="s">
        <v>47</v>
      </c>
    </row>
    <row r="547" spans="1:16">
      <c r="A547" s="2" t="s">
        <v>1134</v>
      </c>
      <c r="B547" s="2" t="s">
        <v>1135</v>
      </c>
      <c r="C547" s="2" t="s">
        <v>1041</v>
      </c>
      <c r="D547" s="2" t="s">
        <v>19</v>
      </c>
      <c r="E547" s="2">
        <v>-0.51869969999999999</v>
      </c>
      <c r="F547" s="3">
        <v>74.2</v>
      </c>
      <c r="G547" s="3">
        <v>71.599999999999994</v>
      </c>
      <c r="H547" s="3">
        <v>0</v>
      </c>
      <c r="I547" s="3">
        <v>0</v>
      </c>
      <c r="J547" s="3">
        <v>-2.6</v>
      </c>
      <c r="K547" s="3">
        <v>-3.5</v>
      </c>
      <c r="L547" s="3" t="s">
        <v>30</v>
      </c>
      <c r="M547" s="3">
        <v>6.1</v>
      </c>
      <c r="N547" s="4">
        <v>61630</v>
      </c>
      <c r="O547" s="4" t="str" cm="1">
        <f t="array" ref="O547">_xlfn.IFS(N547&lt;45000,"Under 45K",N547&lt;75000,"45K - 75K",N547&lt;100000,"75K - 100K",N547&gt;=100000,"Over 100K")</f>
        <v>45K - 75K</v>
      </c>
      <c r="P547" s="2" t="s">
        <v>165</v>
      </c>
    </row>
    <row r="548" spans="1:16">
      <c r="A548" s="2" t="s">
        <v>1136</v>
      </c>
      <c r="B548" s="2" t="s">
        <v>1137</v>
      </c>
      <c r="C548" s="2" t="s">
        <v>1041</v>
      </c>
      <c r="D548" s="2" t="s">
        <v>19</v>
      </c>
      <c r="E548" s="2">
        <v>-0.74632129999999997</v>
      </c>
      <c r="F548" s="3">
        <v>862.2</v>
      </c>
      <c r="G548" s="3">
        <v>795.8</v>
      </c>
      <c r="H548" s="3">
        <v>0.5</v>
      </c>
      <c r="I548" s="3">
        <v>0.5</v>
      </c>
      <c r="J548" s="3">
        <v>-66.3</v>
      </c>
      <c r="K548" s="3">
        <v>-7.7</v>
      </c>
      <c r="L548" s="3">
        <v>0.6</v>
      </c>
      <c r="M548" s="3">
        <v>69.3</v>
      </c>
      <c r="N548" s="4">
        <v>43190</v>
      </c>
      <c r="O548" s="4" t="str" cm="1">
        <f t="array" ref="O548">_xlfn.IFS(N548&lt;45000,"Under 45K",N548&lt;75000,"45K - 75K",N548&lt;100000,"75K - 100K",N548&gt;=100000,"Over 100K")</f>
        <v>Under 45K</v>
      </c>
      <c r="P548" s="2" t="s">
        <v>47</v>
      </c>
    </row>
    <row r="549" spans="1:16">
      <c r="A549" s="2" t="s">
        <v>1138</v>
      </c>
      <c r="B549" s="2" t="s">
        <v>1139</v>
      </c>
      <c r="C549" s="2" t="s">
        <v>1041</v>
      </c>
      <c r="D549" s="2" t="s">
        <v>19</v>
      </c>
      <c r="E549" s="2">
        <v>-0.81846759999999996</v>
      </c>
      <c r="F549" s="3">
        <v>67.400000000000006</v>
      </c>
      <c r="G549" s="3">
        <v>62.9</v>
      </c>
      <c r="H549" s="3">
        <v>0</v>
      </c>
      <c r="I549" s="3">
        <v>0</v>
      </c>
      <c r="J549" s="3">
        <v>-4.4000000000000004</v>
      </c>
      <c r="K549" s="3">
        <v>-6.6</v>
      </c>
      <c r="L549" s="3">
        <v>2.1</v>
      </c>
      <c r="M549" s="3">
        <v>6.9</v>
      </c>
      <c r="N549" s="4">
        <v>38150</v>
      </c>
      <c r="O549" s="4" t="str" cm="1">
        <f t="array" ref="O549">_xlfn.IFS(N549&lt;45000,"Under 45K",N549&lt;75000,"45K - 75K",N549&lt;100000,"75K - 100K",N549&gt;=100000,"Over 100K")</f>
        <v>Under 45K</v>
      </c>
      <c r="P549" s="2" t="s">
        <v>47</v>
      </c>
    </row>
    <row r="550" spans="1:16">
      <c r="A550" s="2" t="s">
        <v>1140</v>
      </c>
      <c r="B550" s="2" t="s">
        <v>1141</v>
      </c>
      <c r="C550" s="2" t="s">
        <v>1041</v>
      </c>
      <c r="D550" s="2" t="s">
        <v>19</v>
      </c>
      <c r="E550" s="2">
        <v>-0.95911259999999998</v>
      </c>
      <c r="F550" s="3">
        <v>247.2</v>
      </c>
      <c r="G550" s="3">
        <v>267.60000000000002</v>
      </c>
      <c r="H550" s="3">
        <v>0.1</v>
      </c>
      <c r="I550" s="3">
        <v>0.2</v>
      </c>
      <c r="J550" s="3">
        <v>20.399999999999999</v>
      </c>
      <c r="K550" s="3">
        <v>8.1999999999999993</v>
      </c>
      <c r="L550" s="3">
        <v>70.2</v>
      </c>
      <c r="M550" s="3">
        <v>27.9</v>
      </c>
      <c r="N550" s="4">
        <v>38340</v>
      </c>
      <c r="O550" s="4" t="str" cm="1">
        <f t="array" ref="O550">_xlfn.IFS(N550&lt;45000,"Under 45K",N550&lt;75000,"45K - 75K",N550&lt;100000,"75K - 100K",N550&gt;=100000,"Over 100K")</f>
        <v>Under 45K</v>
      </c>
      <c r="P550" s="2" t="s">
        <v>47</v>
      </c>
    </row>
    <row r="551" spans="1:16">
      <c r="A551" s="2" t="s">
        <v>1142</v>
      </c>
      <c r="B551" s="2" t="s">
        <v>1143</v>
      </c>
      <c r="C551" s="2" t="s">
        <v>1041</v>
      </c>
      <c r="D551" s="2" t="s">
        <v>19</v>
      </c>
      <c r="E551" s="2">
        <v>-0.97237720000000005</v>
      </c>
      <c r="F551" s="3">
        <v>20.100000000000001</v>
      </c>
      <c r="G551" s="3">
        <v>17.7</v>
      </c>
      <c r="H551" s="3">
        <v>0</v>
      </c>
      <c r="I551" s="3">
        <v>0</v>
      </c>
      <c r="J551" s="3">
        <v>-2.4</v>
      </c>
      <c r="K551" s="3">
        <v>-12</v>
      </c>
      <c r="L551" s="3" t="s">
        <v>30</v>
      </c>
      <c r="M551" s="3">
        <v>1.3</v>
      </c>
      <c r="N551" s="4">
        <v>49180</v>
      </c>
      <c r="O551" s="4" t="str" cm="1">
        <f t="array" ref="O551">_xlfn.IFS(N551&lt;45000,"Under 45K",N551&lt;75000,"45K - 75K",N551&lt;100000,"75K - 100K",N551&gt;=100000,"Over 100K")</f>
        <v>45K - 75K</v>
      </c>
      <c r="P551" s="2" t="s">
        <v>47</v>
      </c>
    </row>
    <row r="552" spans="1:16">
      <c r="A552" s="2" t="s">
        <v>1144</v>
      </c>
      <c r="B552" s="2" t="s">
        <v>1145</v>
      </c>
      <c r="C552" s="2" t="s">
        <v>1041</v>
      </c>
      <c r="D552" s="2" t="s">
        <v>19</v>
      </c>
      <c r="E552" s="2">
        <v>-1.0647150000000001</v>
      </c>
      <c r="F552" s="3">
        <v>319.39999999999998</v>
      </c>
      <c r="G552" s="3">
        <v>308.10000000000002</v>
      </c>
      <c r="H552" s="3">
        <v>0.2</v>
      </c>
      <c r="I552" s="3">
        <v>0.2</v>
      </c>
      <c r="J552" s="3">
        <v>-11.3</v>
      </c>
      <c r="K552" s="3">
        <v>-3.5</v>
      </c>
      <c r="L552" s="3" t="s">
        <v>30</v>
      </c>
      <c r="M552" s="3">
        <v>20.6</v>
      </c>
      <c r="N552" s="4">
        <v>57490</v>
      </c>
      <c r="O552" s="4" t="str" cm="1">
        <f t="array" ref="O552">_xlfn.IFS(N552&lt;45000,"Under 45K",N552&lt;75000,"45K - 75K",N552&lt;100000,"75K - 100K",N552&gt;=100000,"Over 100K")</f>
        <v>45K - 75K</v>
      </c>
      <c r="P552" s="2" t="s">
        <v>165</v>
      </c>
    </row>
    <row r="553" spans="1:16">
      <c r="A553" s="2" t="s">
        <v>1146</v>
      </c>
      <c r="B553" s="2" t="s">
        <v>1147</v>
      </c>
      <c r="C553" s="2" t="s">
        <v>1041</v>
      </c>
      <c r="D553" s="2" t="s">
        <v>19</v>
      </c>
      <c r="E553" s="2">
        <v>-1.185001</v>
      </c>
      <c r="F553" s="3">
        <v>106.4</v>
      </c>
      <c r="G553" s="3">
        <v>97.5</v>
      </c>
      <c r="H553" s="3">
        <v>0.1</v>
      </c>
      <c r="I553" s="3">
        <v>0.1</v>
      </c>
      <c r="J553" s="3">
        <v>-8.9</v>
      </c>
      <c r="K553" s="3">
        <v>-8.4</v>
      </c>
      <c r="L553" s="3" t="s">
        <v>30</v>
      </c>
      <c r="M553" s="3">
        <v>7.8</v>
      </c>
      <c r="N553" s="4">
        <v>56530</v>
      </c>
      <c r="O553" s="4" t="str" cm="1">
        <f t="array" ref="O553">_xlfn.IFS(N553&lt;45000,"Under 45K",N553&lt;75000,"45K - 75K",N553&lt;100000,"75K - 100K",N553&gt;=100000,"Over 100K")</f>
        <v>45K - 75K</v>
      </c>
      <c r="P553" s="2" t="s">
        <v>165</v>
      </c>
    </row>
    <row r="554" spans="1:16">
      <c r="A554" s="2" t="s">
        <v>1148</v>
      </c>
      <c r="B554" s="2" t="s">
        <v>1149</v>
      </c>
      <c r="C554" s="2" t="s">
        <v>1150</v>
      </c>
      <c r="D554" s="2" t="s">
        <v>19</v>
      </c>
      <c r="E554" s="2">
        <v>0.17048669999999999</v>
      </c>
      <c r="F554" s="3">
        <v>14.7</v>
      </c>
      <c r="G554" s="3">
        <v>14.9</v>
      </c>
      <c r="H554" s="3">
        <v>0</v>
      </c>
      <c r="I554" s="3">
        <v>0</v>
      </c>
      <c r="J554" s="3">
        <v>0.2</v>
      </c>
      <c r="K554" s="3">
        <v>1.5</v>
      </c>
      <c r="L554" s="3" t="s">
        <v>30</v>
      </c>
      <c r="M554" s="3">
        <v>2.2000000000000002</v>
      </c>
      <c r="N554" s="4">
        <v>50990</v>
      </c>
      <c r="O554" s="4" t="str" cm="1">
        <f t="array" ref="O554">_xlfn.IFS(N554&lt;45000,"Under 45K",N554&lt;75000,"45K - 75K",N554&lt;100000,"75K - 100K",N554&gt;=100000,"Over 100K")</f>
        <v>45K - 75K</v>
      </c>
      <c r="P554" s="2" t="s">
        <v>23</v>
      </c>
    </row>
    <row r="555" spans="1:16">
      <c r="A555" s="2" t="s">
        <v>1151</v>
      </c>
      <c r="B555" s="2" t="s">
        <v>1152</v>
      </c>
      <c r="C555" s="2" t="s">
        <v>1150</v>
      </c>
      <c r="D555" s="2" t="s">
        <v>19</v>
      </c>
      <c r="E555" s="2">
        <v>0</v>
      </c>
      <c r="F555" s="3">
        <v>10.1</v>
      </c>
      <c r="G555" s="3">
        <v>10.3</v>
      </c>
      <c r="H555" s="3">
        <v>0</v>
      </c>
      <c r="I555" s="3">
        <v>0</v>
      </c>
      <c r="J555" s="3">
        <v>0.2</v>
      </c>
      <c r="K555" s="3">
        <v>2.2999999999999998</v>
      </c>
      <c r="L555" s="3">
        <v>5.8</v>
      </c>
      <c r="M555" s="3">
        <v>1.5</v>
      </c>
      <c r="N555" s="4">
        <v>40390</v>
      </c>
      <c r="O555" s="4" t="str" cm="1">
        <f t="array" ref="O555">_xlfn.IFS(N555&lt;45000,"Under 45K",N555&lt;75000,"45K - 75K",N555&lt;100000,"75K - 100K",N555&gt;=100000,"Over 100K")</f>
        <v>Under 45K</v>
      </c>
      <c r="P555" s="2" t="s">
        <v>165</v>
      </c>
    </row>
    <row r="556" spans="1:16">
      <c r="A556" s="2" t="s">
        <v>1153</v>
      </c>
      <c r="B556" s="2" t="s">
        <v>1154</v>
      </c>
      <c r="C556" s="2" t="s">
        <v>1150</v>
      </c>
      <c r="D556" s="2" t="s">
        <v>19</v>
      </c>
      <c r="E556" s="15">
        <v>0</v>
      </c>
      <c r="F556" s="3">
        <v>21.9</v>
      </c>
      <c r="G556" s="3">
        <v>20.9</v>
      </c>
      <c r="H556" s="3">
        <v>0</v>
      </c>
      <c r="I556" s="3">
        <v>0</v>
      </c>
      <c r="J556" s="3">
        <v>-1</v>
      </c>
      <c r="K556" s="3">
        <v>-4.5999999999999996</v>
      </c>
      <c r="L556" s="3">
        <v>57.1</v>
      </c>
      <c r="M556" s="3">
        <v>2.8</v>
      </c>
      <c r="N556" s="4" t="s">
        <v>30</v>
      </c>
      <c r="O556" s="4" t="str" cm="1">
        <f t="array" ref="O556">_xlfn.IFS(N556&lt;45000,"Under 45K",N556&lt;75000,"45K - 75K",N556&lt;100000,"75K - 100K",N556&gt;=100000,"Over 100K")</f>
        <v>Over 100K</v>
      </c>
      <c r="P556" s="2" t="s">
        <v>165</v>
      </c>
    </row>
    <row r="557" spans="1:16">
      <c r="A557" s="2" t="s">
        <v>1155</v>
      </c>
      <c r="B557" s="2" t="s">
        <v>1156</v>
      </c>
      <c r="C557" s="2" t="s">
        <v>1150</v>
      </c>
      <c r="D557" s="2" t="s">
        <v>19</v>
      </c>
      <c r="E557" s="15">
        <v>0</v>
      </c>
      <c r="F557" s="3">
        <v>3.1</v>
      </c>
      <c r="G557" s="3">
        <v>3</v>
      </c>
      <c r="H557" s="3">
        <v>0</v>
      </c>
      <c r="I557" s="3">
        <v>0</v>
      </c>
      <c r="J557" s="3">
        <v>-0.1</v>
      </c>
      <c r="K557" s="3">
        <v>-4.7</v>
      </c>
      <c r="L557" s="3">
        <v>27.6</v>
      </c>
      <c r="M557" s="3">
        <v>0.4</v>
      </c>
      <c r="N557" s="4">
        <v>52000</v>
      </c>
      <c r="O557" s="4" t="str" cm="1">
        <f t="array" ref="O557">_xlfn.IFS(N557&lt;45000,"Under 45K",N557&lt;75000,"45K - 75K",N557&lt;100000,"75K - 100K",N557&gt;=100000,"Over 100K")</f>
        <v>45K - 75K</v>
      </c>
      <c r="P557" s="2" t="s">
        <v>47</v>
      </c>
    </row>
    <row r="558" spans="1:16">
      <c r="A558" s="2" t="s">
        <v>1157</v>
      </c>
      <c r="B558" s="2" t="s">
        <v>1158</v>
      </c>
      <c r="C558" s="2" t="s">
        <v>1150</v>
      </c>
      <c r="D558" s="2" t="s">
        <v>19</v>
      </c>
      <c r="E558" s="2">
        <v>-0.47683049999999999</v>
      </c>
      <c r="F558" s="3">
        <v>4.5999999999999996</v>
      </c>
      <c r="G558" s="3">
        <v>4.5999999999999996</v>
      </c>
      <c r="H558" s="3">
        <v>0</v>
      </c>
      <c r="I558" s="3">
        <v>0</v>
      </c>
      <c r="J558" s="3">
        <v>0</v>
      </c>
      <c r="K558" s="3">
        <v>-0.7</v>
      </c>
      <c r="L558" s="3">
        <v>28.3</v>
      </c>
      <c r="M558" s="3">
        <v>0.6</v>
      </c>
      <c r="N558" s="4">
        <v>46710</v>
      </c>
      <c r="O558" s="4" t="str" cm="1">
        <f t="array" ref="O558">_xlfn.IFS(N558&lt;45000,"Under 45K",N558&lt;75000,"45K - 75K",N558&lt;100000,"75K - 100K",N558&gt;=100000,"Over 100K")</f>
        <v>45K - 75K</v>
      </c>
      <c r="P558" s="2" t="s">
        <v>47</v>
      </c>
    </row>
    <row r="559" spans="1:16">
      <c r="A559" s="2" t="s">
        <v>1159</v>
      </c>
      <c r="B559" s="2" t="s">
        <v>1160</v>
      </c>
      <c r="C559" s="2" t="s">
        <v>1150</v>
      </c>
      <c r="D559" s="2" t="s">
        <v>19</v>
      </c>
      <c r="E559" s="2">
        <v>-0.47918430000000001</v>
      </c>
      <c r="F559" s="3">
        <v>65.400000000000006</v>
      </c>
      <c r="G559" s="3">
        <v>67</v>
      </c>
      <c r="H559" s="3">
        <v>0</v>
      </c>
      <c r="I559" s="3">
        <v>0</v>
      </c>
      <c r="J559" s="3">
        <v>1.6</v>
      </c>
      <c r="K559" s="3">
        <v>2.5</v>
      </c>
      <c r="L559" s="3">
        <v>11.4</v>
      </c>
      <c r="M559" s="3">
        <v>8.5</v>
      </c>
      <c r="N559" s="4">
        <v>59330</v>
      </c>
      <c r="O559" s="4" t="str" cm="1">
        <f t="array" ref="O559">_xlfn.IFS(N559&lt;45000,"Under 45K",N559&lt;75000,"45K - 75K",N559&lt;100000,"75K - 100K",N559&gt;=100000,"Over 100K")</f>
        <v>45K - 75K</v>
      </c>
      <c r="P559" s="2" t="s">
        <v>47</v>
      </c>
    </row>
    <row r="560" spans="1:16">
      <c r="A560" s="2" t="s">
        <v>1161</v>
      </c>
      <c r="B560" s="2" t="s">
        <v>1162</v>
      </c>
      <c r="C560" s="2" t="s">
        <v>1150</v>
      </c>
      <c r="D560" s="2" t="s">
        <v>19</v>
      </c>
      <c r="E560" s="2">
        <v>-1.0037020000000001</v>
      </c>
      <c r="F560" s="3">
        <v>30.9</v>
      </c>
      <c r="G560" s="3">
        <v>30.5</v>
      </c>
      <c r="H560" s="3">
        <v>0</v>
      </c>
      <c r="I560" s="3">
        <v>0</v>
      </c>
      <c r="J560" s="3">
        <v>-0.4</v>
      </c>
      <c r="K560" s="3">
        <v>-1.4</v>
      </c>
      <c r="L560" s="3">
        <v>29.1</v>
      </c>
      <c r="M560" s="3">
        <v>4.2</v>
      </c>
      <c r="N560" s="4">
        <v>49210</v>
      </c>
      <c r="O560" s="4" t="str" cm="1">
        <f t="array" ref="O560">_xlfn.IFS(N560&lt;45000,"Under 45K",N560&lt;75000,"45K - 75K",N560&lt;100000,"75K - 100K",N560&gt;=100000,"Over 100K")</f>
        <v>45K - 75K</v>
      </c>
      <c r="P560" s="2" t="s">
        <v>47</v>
      </c>
    </row>
    <row r="561" spans="1:16">
      <c r="A561" s="2" t="s">
        <v>1163</v>
      </c>
      <c r="B561" s="2" t="s">
        <v>1164</v>
      </c>
      <c r="C561" s="2" t="s">
        <v>1150</v>
      </c>
      <c r="D561" s="2" t="s">
        <v>19</v>
      </c>
      <c r="E561" s="2">
        <v>-1.044292</v>
      </c>
      <c r="F561" s="3">
        <v>7.9</v>
      </c>
      <c r="G561" s="3">
        <v>8.1</v>
      </c>
      <c r="H561" s="3">
        <v>0</v>
      </c>
      <c r="I561" s="3">
        <v>0</v>
      </c>
      <c r="J561" s="3">
        <v>0.2</v>
      </c>
      <c r="K561" s="3">
        <v>2.4</v>
      </c>
      <c r="L561" s="3">
        <v>3.4</v>
      </c>
      <c r="M561" s="3">
        <v>1.2</v>
      </c>
      <c r="N561" s="4">
        <v>52000</v>
      </c>
      <c r="O561" s="4" t="str" cm="1">
        <f t="array" ref="O561">_xlfn.IFS(N561&lt;45000,"Under 45K",N561&lt;75000,"45K - 75K",N561&lt;100000,"75K - 100K",N561&gt;=100000,"Over 100K")</f>
        <v>45K - 75K</v>
      </c>
      <c r="P561" s="2" t="s">
        <v>47</v>
      </c>
    </row>
    <row r="562" spans="1:16">
      <c r="A562" s="2" t="s">
        <v>1165</v>
      </c>
      <c r="B562" s="2" t="s">
        <v>1166</v>
      </c>
      <c r="C562" s="2" t="s">
        <v>1150</v>
      </c>
      <c r="D562" s="2" t="s">
        <v>19</v>
      </c>
      <c r="E562" s="2">
        <v>-1.0642050000000001</v>
      </c>
      <c r="F562" s="3">
        <v>10.8</v>
      </c>
      <c r="G562" s="3">
        <v>10.3</v>
      </c>
      <c r="H562" s="3">
        <v>0</v>
      </c>
      <c r="I562" s="3">
        <v>0</v>
      </c>
      <c r="J562" s="3">
        <v>-0.5</v>
      </c>
      <c r="K562" s="3">
        <v>-4.7</v>
      </c>
      <c r="L562" s="3">
        <v>15.1</v>
      </c>
      <c r="M562" s="3">
        <v>2</v>
      </c>
      <c r="N562" s="4">
        <v>43680</v>
      </c>
      <c r="O562" s="4" t="str" cm="1">
        <f t="array" ref="O562">_xlfn.IFS(N562&lt;45000,"Under 45K",N562&lt;75000,"45K - 75K",N562&lt;100000,"75K - 100K",N562&gt;=100000,"Over 100K")</f>
        <v>Under 45K</v>
      </c>
      <c r="P562" s="2" t="s">
        <v>47</v>
      </c>
    </row>
    <row r="563" spans="1:16">
      <c r="A563" s="2" t="s">
        <v>1167</v>
      </c>
      <c r="B563" s="2" t="s">
        <v>1168</v>
      </c>
      <c r="C563" s="2" t="s">
        <v>1150</v>
      </c>
      <c r="D563" s="2" t="s">
        <v>19</v>
      </c>
      <c r="E563" s="2">
        <v>-1.1084320000000001</v>
      </c>
      <c r="F563" s="3">
        <v>224.6</v>
      </c>
      <c r="G563" s="3">
        <v>213.4</v>
      </c>
      <c r="H563" s="3">
        <v>0.1</v>
      </c>
      <c r="I563" s="3">
        <v>0.1</v>
      </c>
      <c r="J563" s="3">
        <v>-11.1</v>
      </c>
      <c r="K563" s="3">
        <v>-5</v>
      </c>
      <c r="L563" s="3">
        <v>2.2999999999999998</v>
      </c>
      <c r="M563" s="3">
        <v>31.2</v>
      </c>
      <c r="N563" s="4">
        <v>36150</v>
      </c>
      <c r="O563" s="4" t="str" cm="1">
        <f t="array" ref="O563">_xlfn.IFS(N563&lt;45000,"Under 45K",N563&lt;75000,"45K - 75K",N563&lt;100000,"75K - 100K",N563&gt;=100000,"Over 100K")</f>
        <v>Under 45K</v>
      </c>
      <c r="P563" s="2" t="s">
        <v>165</v>
      </c>
    </row>
    <row r="564" spans="1:16">
      <c r="A564" s="2" t="s">
        <v>1169</v>
      </c>
      <c r="B564" s="2" t="s">
        <v>1170</v>
      </c>
      <c r="C564" s="2" t="s">
        <v>1150</v>
      </c>
      <c r="D564" s="2" t="s">
        <v>19</v>
      </c>
      <c r="E564" s="2">
        <v>-1.1451560000000001</v>
      </c>
      <c r="F564" s="3">
        <v>65.2</v>
      </c>
      <c r="G564" s="3">
        <v>70.3</v>
      </c>
      <c r="H564" s="3">
        <v>0</v>
      </c>
      <c r="I564" s="3">
        <v>0</v>
      </c>
      <c r="J564" s="3">
        <v>5</v>
      </c>
      <c r="K564" s="3">
        <v>7.7</v>
      </c>
      <c r="L564" s="3">
        <v>7.1</v>
      </c>
      <c r="M564" s="3">
        <v>10.5</v>
      </c>
      <c r="N564" s="4">
        <v>42580</v>
      </c>
      <c r="O564" s="4" t="str" cm="1">
        <f t="array" ref="O564">_xlfn.IFS(N564&lt;45000,"Under 45K",N564&lt;75000,"45K - 75K",N564&lt;100000,"75K - 100K",N564&gt;=100000,"Over 100K")</f>
        <v>Under 45K</v>
      </c>
      <c r="P564" s="2" t="s">
        <v>165</v>
      </c>
    </row>
    <row r="565" spans="1:16">
      <c r="A565" s="2" t="s">
        <v>1171</v>
      </c>
      <c r="B565" s="2" t="s">
        <v>1172</v>
      </c>
      <c r="C565" s="2" t="s">
        <v>1150</v>
      </c>
      <c r="D565" s="2" t="s">
        <v>19</v>
      </c>
      <c r="E565" s="2">
        <v>-1.370968</v>
      </c>
      <c r="F565" s="3">
        <v>38.9</v>
      </c>
      <c r="G565" s="3">
        <v>36.799999999999997</v>
      </c>
      <c r="H565" s="3">
        <v>0</v>
      </c>
      <c r="I565" s="3">
        <v>0</v>
      </c>
      <c r="J565" s="3">
        <v>-2.1</v>
      </c>
      <c r="K565" s="3">
        <v>-5.4</v>
      </c>
      <c r="L565" s="3" t="s">
        <v>30</v>
      </c>
      <c r="M565" s="3">
        <v>5.0999999999999996</v>
      </c>
      <c r="N565" s="4">
        <v>35430</v>
      </c>
      <c r="O565" s="4" t="str" cm="1">
        <f t="array" ref="O565">_xlfn.IFS(N565&lt;45000,"Under 45K",N565&lt;75000,"45K - 75K",N565&lt;100000,"75K - 100K",N565&gt;=100000,"Over 100K")</f>
        <v>Under 45K</v>
      </c>
      <c r="P565" s="2" t="s">
        <v>165</v>
      </c>
    </row>
    <row r="566" spans="1:16">
      <c r="A566" s="2" t="s">
        <v>1173</v>
      </c>
      <c r="B566" s="2" t="s">
        <v>1174</v>
      </c>
      <c r="C566" s="2" t="s">
        <v>1150</v>
      </c>
      <c r="D566" s="2" t="s">
        <v>19</v>
      </c>
      <c r="E566" s="2">
        <v>-1.6013489999999999</v>
      </c>
      <c r="F566" s="3">
        <v>504.8</v>
      </c>
      <c r="G566" s="3">
        <v>488.1</v>
      </c>
      <c r="H566" s="3">
        <v>0.3</v>
      </c>
      <c r="I566" s="3">
        <v>0.3</v>
      </c>
      <c r="J566" s="3">
        <v>-16.8</v>
      </c>
      <c r="K566" s="3">
        <v>-3.3</v>
      </c>
      <c r="L566" s="3">
        <v>7.9</v>
      </c>
      <c r="M566" s="3">
        <v>71.7</v>
      </c>
      <c r="N566" s="4">
        <v>35690</v>
      </c>
      <c r="O566" s="4" t="str" cm="1">
        <f t="array" ref="O566">_xlfn.IFS(N566&lt;45000,"Under 45K",N566&lt;75000,"45K - 75K",N566&lt;100000,"75K - 100K",N566&gt;=100000,"Over 100K")</f>
        <v>Under 45K</v>
      </c>
      <c r="P566" s="2" t="s">
        <v>165</v>
      </c>
    </row>
    <row r="567" spans="1:16">
      <c r="A567" s="2" t="s">
        <v>1175</v>
      </c>
      <c r="B567" s="2" t="s">
        <v>1176</v>
      </c>
      <c r="C567" s="2" t="s">
        <v>1150</v>
      </c>
      <c r="D567" s="2" t="s">
        <v>19</v>
      </c>
      <c r="E567" s="2">
        <v>-1.795407</v>
      </c>
      <c r="F567" s="3">
        <v>5.6</v>
      </c>
      <c r="G567" s="3">
        <v>5.2</v>
      </c>
      <c r="H567" s="3">
        <v>0</v>
      </c>
      <c r="I567" s="3">
        <v>0</v>
      </c>
      <c r="J567" s="3">
        <v>-0.4</v>
      </c>
      <c r="K567" s="3">
        <v>-7.3</v>
      </c>
      <c r="L567" s="3">
        <v>29.6</v>
      </c>
      <c r="M567" s="3">
        <v>0.7</v>
      </c>
      <c r="N567" s="4">
        <v>53900</v>
      </c>
      <c r="O567" s="4" t="str" cm="1">
        <f t="array" ref="O567">_xlfn.IFS(N567&lt;45000,"Under 45K",N567&lt;75000,"45K - 75K",N567&lt;100000,"75K - 100K",N567&gt;=100000,"Over 100K")</f>
        <v>45K - 75K</v>
      </c>
      <c r="P567" s="2" t="s">
        <v>47</v>
      </c>
    </row>
    <row r="568" spans="1:16">
      <c r="A568" s="2" t="s">
        <v>1177</v>
      </c>
      <c r="B568" s="2" t="s">
        <v>1178</v>
      </c>
      <c r="C568" s="2" t="s">
        <v>1179</v>
      </c>
      <c r="D568" s="2" t="s">
        <v>19</v>
      </c>
      <c r="E568" s="2">
        <v>0.28602450000000001</v>
      </c>
      <c r="F568" s="3">
        <v>147.6</v>
      </c>
      <c r="G568" s="3">
        <v>146.5</v>
      </c>
      <c r="H568" s="3">
        <v>0.1</v>
      </c>
      <c r="I568" s="3">
        <v>0.1</v>
      </c>
      <c r="J568" s="3">
        <v>-1.2</v>
      </c>
      <c r="K568" s="3">
        <v>-0.8</v>
      </c>
      <c r="L568" s="3">
        <v>4.8</v>
      </c>
      <c r="M568" s="3">
        <v>14.8</v>
      </c>
      <c r="N568" s="4">
        <v>72120</v>
      </c>
      <c r="O568" s="4" t="str" cm="1">
        <f t="array" ref="O568">_xlfn.IFS(N568&lt;45000,"Under 45K",N568&lt;75000,"45K - 75K",N568&lt;100000,"75K - 100K",N568&gt;=100000,"Over 100K")</f>
        <v>45K - 75K</v>
      </c>
      <c r="P568" s="2" t="s">
        <v>47</v>
      </c>
    </row>
    <row r="569" spans="1:16">
      <c r="A569" s="2" t="s">
        <v>1180</v>
      </c>
      <c r="B569" s="2" t="s">
        <v>1181</v>
      </c>
      <c r="C569" s="2" t="s">
        <v>1179</v>
      </c>
      <c r="D569" s="2" t="s">
        <v>19</v>
      </c>
      <c r="E569" s="15">
        <v>0</v>
      </c>
      <c r="F569" s="3">
        <v>26.3</v>
      </c>
      <c r="G569" s="3">
        <v>27.4</v>
      </c>
      <c r="H569" s="3">
        <v>0</v>
      </c>
      <c r="I569" s="3">
        <v>0</v>
      </c>
      <c r="J569" s="3">
        <v>1.2</v>
      </c>
      <c r="K569" s="3">
        <v>4.4000000000000004</v>
      </c>
      <c r="L569" s="3">
        <v>1.7</v>
      </c>
      <c r="M569" s="3">
        <v>2.8</v>
      </c>
      <c r="N569" s="4">
        <v>40760</v>
      </c>
      <c r="O569" s="4" t="str" cm="1">
        <f t="array" ref="O569">_xlfn.IFS(N569&lt;45000,"Under 45K",N569&lt;75000,"45K - 75K",N569&lt;100000,"75K - 100K",N569&gt;=100000,"Over 100K")</f>
        <v>Under 45K</v>
      </c>
      <c r="P569" s="2" t="s">
        <v>165</v>
      </c>
    </row>
    <row r="570" spans="1:16">
      <c r="A570" s="2" t="s">
        <v>1182</v>
      </c>
      <c r="B570" s="2" t="s">
        <v>1183</v>
      </c>
      <c r="C570" s="2" t="s">
        <v>1179</v>
      </c>
      <c r="D570" s="2" t="s">
        <v>19</v>
      </c>
      <c r="E570" s="15">
        <v>0</v>
      </c>
      <c r="F570" s="3">
        <v>35</v>
      </c>
      <c r="G570" s="3">
        <v>36.200000000000003</v>
      </c>
      <c r="H570" s="3">
        <v>0</v>
      </c>
      <c r="I570" s="3">
        <v>0</v>
      </c>
      <c r="J570" s="3">
        <v>1.2</v>
      </c>
      <c r="K570" s="3">
        <v>3.5</v>
      </c>
      <c r="L570" s="3">
        <v>3.2</v>
      </c>
      <c r="M570" s="3">
        <v>3.1</v>
      </c>
      <c r="N570" s="4">
        <v>48120</v>
      </c>
      <c r="O570" s="4" t="str" cm="1">
        <f t="array" ref="O570">_xlfn.IFS(N570&lt;45000,"Under 45K",N570&lt;75000,"45K - 75K",N570&lt;100000,"75K - 100K",N570&gt;=100000,"Over 100K")</f>
        <v>45K - 75K</v>
      </c>
      <c r="P570" s="2" t="s">
        <v>47</v>
      </c>
    </row>
    <row r="571" spans="1:16">
      <c r="A571" s="2" t="s">
        <v>1184</v>
      </c>
      <c r="B571" s="2" t="s">
        <v>1185</v>
      </c>
      <c r="C571" s="2" t="s">
        <v>1179</v>
      </c>
      <c r="D571" s="2" t="s">
        <v>19</v>
      </c>
      <c r="E571" s="15">
        <v>0</v>
      </c>
      <c r="F571" s="3">
        <v>35.799999999999997</v>
      </c>
      <c r="G571" s="3">
        <v>35.6</v>
      </c>
      <c r="H571" s="3">
        <v>0</v>
      </c>
      <c r="I571" s="3">
        <v>0</v>
      </c>
      <c r="J571" s="3">
        <v>-0.1</v>
      </c>
      <c r="K571" s="3">
        <v>-0.4</v>
      </c>
      <c r="L571" s="3">
        <v>3.2</v>
      </c>
      <c r="M571" s="3">
        <v>3.1</v>
      </c>
      <c r="N571" s="4">
        <v>52550</v>
      </c>
      <c r="O571" s="4" t="str" cm="1">
        <f t="array" ref="O571">_xlfn.IFS(N571&lt;45000,"Under 45K",N571&lt;75000,"45K - 75K",N571&lt;100000,"75K - 100K",N571&gt;=100000,"Over 100K")</f>
        <v>45K - 75K</v>
      </c>
      <c r="P571" s="2" t="s">
        <v>47</v>
      </c>
    </row>
    <row r="572" spans="1:16">
      <c r="A572" s="2" t="s">
        <v>1186</v>
      </c>
      <c r="B572" s="2" t="s">
        <v>1187</v>
      </c>
      <c r="C572" s="2" t="s">
        <v>1179</v>
      </c>
      <c r="D572" s="2" t="s">
        <v>19</v>
      </c>
      <c r="E572" s="15">
        <v>0</v>
      </c>
      <c r="F572" s="3">
        <v>18.3</v>
      </c>
      <c r="G572" s="3">
        <v>18.8</v>
      </c>
      <c r="H572" s="3">
        <v>0</v>
      </c>
      <c r="I572" s="3">
        <v>0</v>
      </c>
      <c r="J572" s="3">
        <v>0.5</v>
      </c>
      <c r="K572" s="3">
        <v>2.9</v>
      </c>
      <c r="L572" s="3">
        <v>3.3</v>
      </c>
      <c r="M572" s="3">
        <v>1.7</v>
      </c>
      <c r="N572" s="4">
        <v>59600</v>
      </c>
      <c r="O572" s="4" t="str" cm="1">
        <f t="array" ref="O572">_xlfn.IFS(N572&lt;45000,"Under 45K",N572&lt;75000,"45K - 75K",N572&lt;100000,"75K - 100K",N572&gt;=100000,"Over 100K")</f>
        <v>45K - 75K</v>
      </c>
      <c r="P572" s="2" t="s">
        <v>47</v>
      </c>
    </row>
    <row r="573" spans="1:16">
      <c r="A573" s="2" t="s">
        <v>1188</v>
      </c>
      <c r="B573" s="2" t="s">
        <v>1189</v>
      </c>
      <c r="C573" s="2" t="s">
        <v>1179</v>
      </c>
      <c r="D573" s="2" t="s">
        <v>19</v>
      </c>
      <c r="E573" s="15">
        <v>0</v>
      </c>
      <c r="F573" s="3">
        <v>5.8</v>
      </c>
      <c r="G573" s="3">
        <v>5.8</v>
      </c>
      <c r="H573" s="3">
        <v>0</v>
      </c>
      <c r="I573" s="3">
        <v>0</v>
      </c>
      <c r="J573" s="3">
        <v>-0.1</v>
      </c>
      <c r="K573" s="3">
        <v>-0.9</v>
      </c>
      <c r="L573" s="3" t="s">
        <v>30</v>
      </c>
      <c r="M573" s="3">
        <v>0.5</v>
      </c>
      <c r="N573" s="4">
        <v>59110</v>
      </c>
      <c r="O573" s="4" t="str" cm="1">
        <f t="array" ref="O573">_xlfn.IFS(N573&lt;45000,"Under 45K",N573&lt;75000,"45K - 75K",N573&lt;100000,"75K - 100K",N573&gt;=100000,"Over 100K")</f>
        <v>45K - 75K</v>
      </c>
      <c r="P573" s="2" t="s">
        <v>47</v>
      </c>
    </row>
    <row r="574" spans="1:16">
      <c r="A574" s="2" t="s">
        <v>1190</v>
      </c>
      <c r="B574" s="2" t="s">
        <v>1191</v>
      </c>
      <c r="C574" s="2" t="s">
        <v>1179</v>
      </c>
      <c r="D574" s="2" t="s">
        <v>19</v>
      </c>
      <c r="E574" s="15">
        <v>0</v>
      </c>
      <c r="F574" s="3">
        <v>2.2999999999999998</v>
      </c>
      <c r="G574" s="3">
        <v>1.5</v>
      </c>
      <c r="H574" s="3">
        <v>0</v>
      </c>
      <c r="I574" s="3">
        <v>0</v>
      </c>
      <c r="J574" s="3">
        <v>-0.8</v>
      </c>
      <c r="K574" s="3">
        <v>-34.200000000000003</v>
      </c>
      <c r="L574" s="3">
        <v>2.8</v>
      </c>
      <c r="M574" s="3">
        <v>0.1</v>
      </c>
      <c r="N574" s="4">
        <v>76640</v>
      </c>
      <c r="O574" s="4" t="str" cm="1">
        <f t="array" ref="O574">_xlfn.IFS(N574&lt;45000,"Under 45K",N574&lt;75000,"45K - 75K",N574&lt;100000,"75K - 100K",N574&gt;=100000,"Over 100K")</f>
        <v>75K - 100K</v>
      </c>
      <c r="P574" s="2" t="s">
        <v>47</v>
      </c>
    </row>
    <row r="575" spans="1:16">
      <c r="A575" s="2" t="s">
        <v>1192</v>
      </c>
      <c r="B575" s="2" t="s">
        <v>1193</v>
      </c>
      <c r="C575" s="2" t="s">
        <v>1179</v>
      </c>
      <c r="D575" s="2" t="s">
        <v>19</v>
      </c>
      <c r="E575" s="15">
        <v>0</v>
      </c>
      <c r="F575" s="3">
        <v>6.4</v>
      </c>
      <c r="G575" s="3">
        <v>5</v>
      </c>
      <c r="H575" s="3">
        <v>0</v>
      </c>
      <c r="I575" s="3">
        <v>0</v>
      </c>
      <c r="J575" s="3">
        <v>-1.4</v>
      </c>
      <c r="K575" s="3">
        <v>-22.3</v>
      </c>
      <c r="L575" s="3">
        <v>2.8</v>
      </c>
      <c r="M575" s="3">
        <v>0.5</v>
      </c>
      <c r="N575" s="4">
        <v>68860</v>
      </c>
      <c r="O575" s="4" t="str" cm="1">
        <f t="array" ref="O575">_xlfn.IFS(N575&lt;45000,"Under 45K",N575&lt;75000,"45K - 75K",N575&lt;100000,"75K - 100K",N575&gt;=100000,"Over 100K")</f>
        <v>45K - 75K</v>
      </c>
      <c r="P575" s="2" t="s">
        <v>165</v>
      </c>
    </row>
    <row r="576" spans="1:16">
      <c r="A576" s="2" t="s">
        <v>1194</v>
      </c>
      <c r="B576" s="2" t="s">
        <v>1195</v>
      </c>
      <c r="C576" s="2" t="s">
        <v>1179</v>
      </c>
      <c r="D576" s="2" t="s">
        <v>19</v>
      </c>
      <c r="E576" s="15">
        <v>0</v>
      </c>
      <c r="F576" s="3">
        <v>3.6</v>
      </c>
      <c r="G576" s="3">
        <v>3.4</v>
      </c>
      <c r="H576" s="3">
        <v>0</v>
      </c>
      <c r="I576" s="3">
        <v>0</v>
      </c>
      <c r="J576" s="3">
        <v>-0.2</v>
      </c>
      <c r="K576" s="3">
        <v>-6.1</v>
      </c>
      <c r="L576" s="3">
        <v>2.8</v>
      </c>
      <c r="M576" s="3">
        <v>0.4</v>
      </c>
      <c r="N576" s="4">
        <v>67220</v>
      </c>
      <c r="O576" s="4" t="str" cm="1">
        <f t="array" ref="O576">_xlfn.IFS(N576&lt;45000,"Under 45K",N576&lt;75000,"45K - 75K",N576&lt;100000,"75K - 100K",N576&gt;=100000,"Over 100K")</f>
        <v>45K - 75K</v>
      </c>
      <c r="P576" s="2" t="s">
        <v>165</v>
      </c>
    </row>
    <row r="577" spans="1:16">
      <c r="A577" s="2" t="s">
        <v>1196</v>
      </c>
      <c r="B577" s="2" t="s">
        <v>1197</v>
      </c>
      <c r="C577" s="2" t="s">
        <v>1179</v>
      </c>
      <c r="D577" s="2" t="s">
        <v>19</v>
      </c>
      <c r="E577" s="15">
        <v>0</v>
      </c>
      <c r="F577" s="3">
        <v>6.3</v>
      </c>
      <c r="G577" s="3">
        <v>6.4</v>
      </c>
      <c r="H577" s="3">
        <v>0</v>
      </c>
      <c r="I577" s="3">
        <v>0</v>
      </c>
      <c r="J577" s="3">
        <v>0.1</v>
      </c>
      <c r="K577" s="3">
        <v>1.4</v>
      </c>
      <c r="L577" s="3">
        <v>3.3</v>
      </c>
      <c r="M577" s="3">
        <v>0.7</v>
      </c>
      <c r="N577" s="4">
        <v>50110</v>
      </c>
      <c r="O577" s="4" t="str" cm="1">
        <f t="array" ref="O577">_xlfn.IFS(N577&lt;45000,"Under 45K",N577&lt;75000,"45K - 75K",N577&lt;100000,"75K - 100K",N577&gt;=100000,"Over 100K")</f>
        <v>45K - 75K</v>
      </c>
      <c r="P577" s="2" t="s">
        <v>47</v>
      </c>
    </row>
    <row r="578" spans="1:16">
      <c r="A578" s="2" t="s">
        <v>1198</v>
      </c>
      <c r="B578" s="2" t="s">
        <v>1199</v>
      </c>
      <c r="C578" s="2" t="s">
        <v>1179</v>
      </c>
      <c r="D578" s="2" t="s">
        <v>19</v>
      </c>
      <c r="E578" s="2">
        <v>-0.30540479999999998</v>
      </c>
      <c r="F578" s="3">
        <v>921.6</v>
      </c>
      <c r="G578" s="3">
        <v>970.6</v>
      </c>
      <c r="H578" s="3">
        <v>0.5</v>
      </c>
      <c r="I578" s="3">
        <v>0.6</v>
      </c>
      <c r="J578" s="3">
        <v>49</v>
      </c>
      <c r="K578" s="3">
        <v>5.3</v>
      </c>
      <c r="L578" s="3">
        <v>11.5</v>
      </c>
      <c r="M578" s="3">
        <v>74.400000000000006</v>
      </c>
      <c r="N578" s="4">
        <v>78690</v>
      </c>
      <c r="O578" s="4" t="str" cm="1">
        <f t="array" ref="O578">_xlfn.IFS(N578&lt;45000,"Under 45K",N578&lt;75000,"45K - 75K",N578&lt;100000,"75K - 100K",N578&gt;=100000,"Over 100K")</f>
        <v>75K - 100K</v>
      </c>
      <c r="P578" s="2" t="s">
        <v>47</v>
      </c>
    </row>
    <row r="579" spans="1:16">
      <c r="A579" s="2" t="s">
        <v>1200</v>
      </c>
      <c r="B579" s="2" t="s">
        <v>1201</v>
      </c>
      <c r="C579" s="2" t="s">
        <v>1179</v>
      </c>
      <c r="D579" s="2" t="s">
        <v>19</v>
      </c>
      <c r="E579" s="2">
        <v>-0.68874389999999996</v>
      </c>
      <c r="F579" s="3">
        <v>51.3</v>
      </c>
      <c r="G579" s="3">
        <v>51.8</v>
      </c>
      <c r="H579" s="3">
        <v>0</v>
      </c>
      <c r="I579" s="3">
        <v>0</v>
      </c>
      <c r="J579" s="3">
        <v>0.5</v>
      </c>
      <c r="K579" s="3">
        <v>1</v>
      </c>
      <c r="L579" s="3">
        <v>0.1</v>
      </c>
      <c r="M579" s="3">
        <v>5</v>
      </c>
      <c r="N579" s="4">
        <v>48490</v>
      </c>
      <c r="O579" s="4" t="str" cm="1">
        <f t="array" ref="O579">_xlfn.IFS(N579&lt;45000,"Under 45K",N579&lt;75000,"45K - 75K",N579&lt;100000,"75K - 100K",N579&gt;=100000,"Over 100K")</f>
        <v>45K - 75K</v>
      </c>
      <c r="P579" s="2" t="s">
        <v>47</v>
      </c>
    </row>
    <row r="580" spans="1:16">
      <c r="A580" s="2" t="s">
        <v>1202</v>
      </c>
      <c r="B580" s="2" t="s">
        <v>1203</v>
      </c>
      <c r="C580" s="2" t="s">
        <v>1179</v>
      </c>
      <c r="D580" s="2" t="s">
        <v>19</v>
      </c>
      <c r="E580" s="2">
        <v>-0.77373259999999999</v>
      </c>
      <c r="F580" s="3">
        <v>13.3</v>
      </c>
      <c r="G580" s="3">
        <v>13.4</v>
      </c>
      <c r="H580" s="3">
        <v>0</v>
      </c>
      <c r="I580" s="3">
        <v>0</v>
      </c>
      <c r="J580" s="3">
        <v>0</v>
      </c>
      <c r="K580" s="3">
        <v>0.2</v>
      </c>
      <c r="L580" s="3">
        <v>1.4</v>
      </c>
      <c r="M580" s="3">
        <v>1.2</v>
      </c>
      <c r="N580" s="4">
        <v>65010</v>
      </c>
      <c r="O580" s="4" t="str" cm="1">
        <f t="array" ref="O580">_xlfn.IFS(N580&lt;45000,"Under 45K",N580&lt;75000,"45K - 75K",N580&lt;100000,"75K - 100K",N580&gt;=100000,"Over 100K")</f>
        <v>45K - 75K</v>
      </c>
      <c r="P580" s="2" t="s">
        <v>165</v>
      </c>
    </row>
    <row r="581" spans="1:16">
      <c r="A581" s="2" t="s">
        <v>1204</v>
      </c>
      <c r="B581" s="2" t="s">
        <v>1205</v>
      </c>
      <c r="C581" s="2" t="s">
        <v>1179</v>
      </c>
      <c r="D581" s="2" t="s">
        <v>19</v>
      </c>
      <c r="E581" s="2">
        <v>-0.77969049999999995</v>
      </c>
      <c r="F581" s="3">
        <v>818.7</v>
      </c>
      <c r="G581" s="3">
        <v>896.1</v>
      </c>
      <c r="H581" s="3">
        <v>0.5</v>
      </c>
      <c r="I581" s="3">
        <v>0.5</v>
      </c>
      <c r="J581" s="3">
        <v>77.400000000000006</v>
      </c>
      <c r="K581" s="3">
        <v>9.5</v>
      </c>
      <c r="L581" s="3">
        <v>7.8</v>
      </c>
      <c r="M581" s="3">
        <v>81</v>
      </c>
      <c r="N581" s="4">
        <v>62350</v>
      </c>
      <c r="O581" s="4" t="str" cm="1">
        <f t="array" ref="O581">_xlfn.IFS(N581&lt;45000,"Under 45K",N581&lt;75000,"45K - 75K",N581&lt;100000,"75K - 100K",N581&gt;=100000,"Over 100K")</f>
        <v>45K - 75K</v>
      </c>
      <c r="P581" s="2" t="s">
        <v>47</v>
      </c>
    </row>
    <row r="582" spans="1:16">
      <c r="A582" s="2" t="s">
        <v>1206</v>
      </c>
      <c r="B582" s="2" t="s">
        <v>1207</v>
      </c>
      <c r="C582" s="2" t="s">
        <v>1179</v>
      </c>
      <c r="D582" s="2" t="s">
        <v>19</v>
      </c>
      <c r="E582" s="2">
        <v>-0.86047419999999997</v>
      </c>
      <c r="F582" s="3">
        <v>24.2</v>
      </c>
      <c r="G582" s="3">
        <v>25.4</v>
      </c>
      <c r="H582" s="3">
        <v>0</v>
      </c>
      <c r="I582" s="3">
        <v>0</v>
      </c>
      <c r="J582" s="3">
        <v>1.2</v>
      </c>
      <c r="K582" s="3">
        <v>5</v>
      </c>
      <c r="L582" s="3" t="s">
        <v>30</v>
      </c>
      <c r="M582" s="3">
        <v>2</v>
      </c>
      <c r="N582" s="4">
        <v>106580</v>
      </c>
      <c r="O582" s="4" t="str" cm="1">
        <f t="array" ref="O582">_xlfn.IFS(N582&lt;45000,"Under 45K",N582&lt;75000,"45K - 75K",N582&lt;100000,"75K - 100K",N582&gt;=100000,"Over 100K")</f>
        <v>Over 100K</v>
      </c>
      <c r="P582" s="2" t="s">
        <v>47</v>
      </c>
    </row>
    <row r="583" spans="1:16">
      <c r="A583" s="2" t="s">
        <v>1208</v>
      </c>
      <c r="B583" s="2" t="s">
        <v>1209</v>
      </c>
      <c r="C583" s="2" t="s">
        <v>1179</v>
      </c>
      <c r="D583" s="2" t="s">
        <v>19</v>
      </c>
      <c r="E583" s="2">
        <v>-0.88150779999999995</v>
      </c>
      <c r="F583" s="3">
        <v>489.3</v>
      </c>
      <c r="G583" s="3">
        <v>507.1</v>
      </c>
      <c r="H583" s="3">
        <v>0.3</v>
      </c>
      <c r="I583" s="3">
        <v>0.3</v>
      </c>
      <c r="J583" s="3">
        <v>17.8</v>
      </c>
      <c r="K583" s="3">
        <v>3.6</v>
      </c>
      <c r="L583" s="3">
        <v>2.5</v>
      </c>
      <c r="M583" s="3">
        <v>41.9</v>
      </c>
      <c r="N583" s="4">
        <v>58710</v>
      </c>
      <c r="O583" s="4" t="str" cm="1">
        <f t="array" ref="O583">_xlfn.IFS(N583&lt;45000,"Under 45K",N583&lt;75000,"45K - 75K",N583&lt;100000,"75K - 100K",N583&gt;=100000,"Over 100K")</f>
        <v>45K - 75K</v>
      </c>
      <c r="P583" s="2" t="s">
        <v>47</v>
      </c>
    </row>
    <row r="584" spans="1:16">
      <c r="A584" s="2" t="s">
        <v>1210</v>
      </c>
      <c r="B584" s="2" t="s">
        <v>1211</v>
      </c>
      <c r="C584" s="2" t="s">
        <v>1179</v>
      </c>
      <c r="D584" s="2" t="s">
        <v>19</v>
      </c>
      <c r="E584" s="2">
        <v>-0.94416920000000004</v>
      </c>
      <c r="F584" s="3">
        <v>28.6</v>
      </c>
      <c r="G584" s="3">
        <v>40.6</v>
      </c>
      <c r="H584" s="3">
        <v>0</v>
      </c>
      <c r="I584" s="3">
        <v>0</v>
      </c>
      <c r="J584" s="3">
        <v>12</v>
      </c>
      <c r="K584" s="3">
        <v>42.1</v>
      </c>
      <c r="L584" s="3" t="s">
        <v>30</v>
      </c>
      <c r="M584" s="3">
        <v>4.0999999999999996</v>
      </c>
      <c r="N584" s="4">
        <v>51860</v>
      </c>
      <c r="O584" s="4" t="str" cm="1">
        <f t="array" ref="O584">_xlfn.IFS(N584&lt;45000,"Under 45K",N584&lt;75000,"45K - 75K",N584&lt;100000,"75K - 100K",N584&gt;=100000,"Over 100K")</f>
        <v>45K - 75K</v>
      </c>
      <c r="P584" s="2" t="s">
        <v>47</v>
      </c>
    </row>
    <row r="585" spans="1:16">
      <c r="A585" s="2" t="s">
        <v>1212</v>
      </c>
      <c r="B585" s="2" t="s">
        <v>1213</v>
      </c>
      <c r="C585" s="2" t="s">
        <v>1179</v>
      </c>
      <c r="D585" s="2" t="s">
        <v>19</v>
      </c>
      <c r="E585" s="2">
        <v>-0.971916</v>
      </c>
      <c r="F585" s="3">
        <v>45.2</v>
      </c>
      <c r="G585" s="3">
        <v>45.4</v>
      </c>
      <c r="H585" s="3">
        <v>0</v>
      </c>
      <c r="I585" s="3">
        <v>0</v>
      </c>
      <c r="J585" s="3">
        <v>0.2</v>
      </c>
      <c r="K585" s="3">
        <v>0.4</v>
      </c>
      <c r="L585" s="3">
        <v>1.4</v>
      </c>
      <c r="M585" s="3">
        <v>4.0999999999999996</v>
      </c>
      <c r="N585" s="4">
        <v>57980</v>
      </c>
      <c r="O585" s="4" t="str" cm="1">
        <f t="array" ref="O585">_xlfn.IFS(N585&lt;45000,"Under 45K",N585&lt;75000,"45K - 75K",N585&lt;100000,"75K - 100K",N585&gt;=100000,"Over 100K")</f>
        <v>45K - 75K</v>
      </c>
      <c r="P585" s="2" t="s">
        <v>165</v>
      </c>
    </row>
    <row r="586" spans="1:16">
      <c r="A586" s="2" t="s">
        <v>1214</v>
      </c>
      <c r="B586" s="2" t="s">
        <v>1215</v>
      </c>
      <c r="C586" s="2" t="s">
        <v>1179</v>
      </c>
      <c r="D586" s="2" t="s">
        <v>19</v>
      </c>
      <c r="E586" s="2">
        <v>-1.097532</v>
      </c>
      <c r="F586" s="3">
        <v>10.4</v>
      </c>
      <c r="G586" s="3">
        <v>10.1</v>
      </c>
      <c r="H586" s="3">
        <v>0</v>
      </c>
      <c r="I586" s="3">
        <v>0</v>
      </c>
      <c r="J586" s="3">
        <v>-0.2</v>
      </c>
      <c r="K586" s="3">
        <v>-2.4</v>
      </c>
      <c r="L586" s="3" t="s">
        <v>30</v>
      </c>
      <c r="M586" s="3">
        <v>0.8</v>
      </c>
      <c r="N586" s="4">
        <v>73340</v>
      </c>
      <c r="O586" s="4" t="str" cm="1">
        <f t="array" ref="O586">_xlfn.IFS(N586&lt;45000,"Under 45K",N586&lt;75000,"45K - 75K",N586&lt;100000,"75K - 100K",N586&gt;=100000,"Over 100K")</f>
        <v>45K - 75K</v>
      </c>
      <c r="P586" s="2" t="s">
        <v>47</v>
      </c>
    </row>
    <row r="587" spans="1:16">
      <c r="A587" s="2" t="s">
        <v>1216</v>
      </c>
      <c r="B587" s="2" t="s">
        <v>1217</v>
      </c>
      <c r="C587" s="2" t="s">
        <v>1179</v>
      </c>
      <c r="D587" s="2" t="s">
        <v>19</v>
      </c>
      <c r="E587" s="2">
        <v>-1.121219</v>
      </c>
      <c r="F587" s="3">
        <v>504.5</v>
      </c>
      <c r="G587" s="3">
        <v>527.20000000000005</v>
      </c>
      <c r="H587" s="3">
        <v>0.3</v>
      </c>
      <c r="I587" s="3">
        <v>0.3</v>
      </c>
      <c r="J587" s="3">
        <v>22.7</v>
      </c>
      <c r="K587" s="3">
        <v>4.5</v>
      </c>
      <c r="L587" s="3">
        <v>7.8</v>
      </c>
      <c r="M587" s="3">
        <v>44</v>
      </c>
      <c r="N587" s="4">
        <v>62970</v>
      </c>
      <c r="O587" s="4" t="str" cm="1">
        <f t="array" ref="O587">_xlfn.IFS(N587&lt;45000,"Under 45K",N587&lt;75000,"45K - 75K",N587&lt;100000,"75K - 100K",N587&gt;=100000,"Over 100K")</f>
        <v>45K - 75K</v>
      </c>
      <c r="P587" s="2" t="s">
        <v>47</v>
      </c>
    </row>
    <row r="588" spans="1:16">
      <c r="A588" s="2" t="s">
        <v>1218</v>
      </c>
      <c r="B588" s="2" t="s">
        <v>1219</v>
      </c>
      <c r="C588" s="2" t="s">
        <v>1179</v>
      </c>
      <c r="D588" s="2" t="s">
        <v>19</v>
      </c>
      <c r="E588" s="2">
        <v>-1.165492</v>
      </c>
      <c r="F588" s="3">
        <v>14.9</v>
      </c>
      <c r="G588" s="3">
        <v>15</v>
      </c>
      <c r="H588" s="3">
        <v>0</v>
      </c>
      <c r="I588" s="3">
        <v>0</v>
      </c>
      <c r="J588" s="3">
        <v>0.1</v>
      </c>
      <c r="K588" s="3">
        <v>0.6</v>
      </c>
      <c r="L588" s="3">
        <v>2.8</v>
      </c>
      <c r="M588" s="3">
        <v>1.6</v>
      </c>
      <c r="N588" s="4">
        <v>63380</v>
      </c>
      <c r="O588" s="4" t="str" cm="1">
        <f t="array" ref="O588">_xlfn.IFS(N588&lt;45000,"Under 45K",N588&lt;75000,"45K - 75K",N588&lt;100000,"75K - 100K",N588&gt;=100000,"Over 100K")</f>
        <v>45K - 75K</v>
      </c>
      <c r="P588" s="2" t="s">
        <v>165</v>
      </c>
    </row>
    <row r="589" spans="1:16">
      <c r="A589" s="2" t="s">
        <v>1220</v>
      </c>
      <c r="B589" s="2" t="s">
        <v>1221</v>
      </c>
      <c r="C589" s="2" t="s">
        <v>1179</v>
      </c>
      <c r="D589" s="2" t="s">
        <v>19</v>
      </c>
      <c r="E589" s="2">
        <v>-1.1749719999999999</v>
      </c>
      <c r="F589" s="3">
        <v>127</v>
      </c>
      <c r="G589" s="3">
        <v>130.1</v>
      </c>
      <c r="H589" s="3">
        <v>0.1</v>
      </c>
      <c r="I589" s="3">
        <v>0.1</v>
      </c>
      <c r="J589" s="3">
        <v>3.1</v>
      </c>
      <c r="K589" s="3">
        <v>2.4</v>
      </c>
      <c r="L589" s="3">
        <v>6.5</v>
      </c>
      <c r="M589" s="3">
        <v>10.6</v>
      </c>
      <c r="N589" s="4">
        <v>60850</v>
      </c>
      <c r="O589" s="4" t="str" cm="1">
        <f t="array" ref="O589">_xlfn.IFS(N589&lt;45000,"Under 45K",N589&lt;75000,"45K - 75K",N589&lt;100000,"75K - 100K",N589&gt;=100000,"Over 100K")</f>
        <v>45K - 75K</v>
      </c>
      <c r="P589" s="2" t="s">
        <v>47</v>
      </c>
    </row>
    <row r="590" spans="1:16">
      <c r="A590" s="2" t="s">
        <v>1222</v>
      </c>
      <c r="B590" s="2" t="s">
        <v>1223</v>
      </c>
      <c r="C590" s="2" t="s">
        <v>1179</v>
      </c>
      <c r="D590" s="2" t="s">
        <v>19</v>
      </c>
      <c r="E590" s="2">
        <v>-1.184739</v>
      </c>
      <c r="F590" s="3">
        <v>47</v>
      </c>
      <c r="G590" s="3">
        <v>48.6</v>
      </c>
      <c r="H590" s="3">
        <v>0</v>
      </c>
      <c r="I590" s="3">
        <v>0</v>
      </c>
      <c r="J590" s="3">
        <v>1.5</v>
      </c>
      <c r="K590" s="3">
        <v>3.2</v>
      </c>
      <c r="L590" s="3">
        <v>2.7</v>
      </c>
      <c r="M590" s="3">
        <v>4</v>
      </c>
      <c r="N590" s="4">
        <v>51650</v>
      </c>
      <c r="O590" s="4" t="str" cm="1">
        <f t="array" ref="O590">_xlfn.IFS(N590&lt;45000,"Under 45K",N590&lt;75000,"45K - 75K",N590&lt;100000,"75K - 100K",N590&gt;=100000,"Over 100K")</f>
        <v>45K - 75K</v>
      </c>
      <c r="P590" s="2" t="s">
        <v>47</v>
      </c>
    </row>
    <row r="591" spans="1:16">
      <c r="A591" s="2" t="s">
        <v>1224</v>
      </c>
      <c r="B591" s="2" t="s">
        <v>1225</v>
      </c>
      <c r="C591" s="2" t="s">
        <v>1179</v>
      </c>
      <c r="D591" s="2" t="s">
        <v>19</v>
      </c>
      <c r="E591" s="2">
        <v>-1.210591</v>
      </c>
      <c r="F591" s="3">
        <v>30.4</v>
      </c>
      <c r="G591" s="3">
        <v>32.700000000000003</v>
      </c>
      <c r="H591" s="3">
        <v>0</v>
      </c>
      <c r="I591" s="3">
        <v>0</v>
      </c>
      <c r="J591" s="3">
        <v>2.2999999999999998</v>
      </c>
      <c r="K591" s="3">
        <v>7.6</v>
      </c>
      <c r="L591" s="3">
        <v>2.8</v>
      </c>
      <c r="M591" s="3">
        <v>2.9</v>
      </c>
      <c r="N591" s="4">
        <v>49140</v>
      </c>
      <c r="O591" s="4" t="str" cm="1">
        <f t="array" ref="O591">_xlfn.IFS(N591&lt;45000,"Under 45K",N591&lt;75000,"45K - 75K",N591&lt;100000,"75K - 100K",N591&gt;=100000,"Over 100K")</f>
        <v>45K - 75K</v>
      </c>
      <c r="P591" s="2" t="s">
        <v>47</v>
      </c>
    </row>
    <row r="592" spans="1:16">
      <c r="A592" s="2" t="s">
        <v>1226</v>
      </c>
      <c r="B592" s="2" t="s">
        <v>1227</v>
      </c>
      <c r="C592" s="2" t="s">
        <v>1179</v>
      </c>
      <c r="D592" s="2" t="s">
        <v>19</v>
      </c>
      <c r="E592" s="2">
        <v>-1.2200089999999999</v>
      </c>
      <c r="F592" s="3">
        <v>3.2</v>
      </c>
      <c r="G592" s="3">
        <v>3.3</v>
      </c>
      <c r="H592" s="3">
        <v>0</v>
      </c>
      <c r="I592" s="3">
        <v>0</v>
      </c>
      <c r="J592" s="3">
        <v>0.1</v>
      </c>
      <c r="K592" s="3">
        <v>4.3</v>
      </c>
      <c r="L592" s="3">
        <v>3</v>
      </c>
      <c r="M592" s="3">
        <v>0.3</v>
      </c>
      <c r="N592" s="4">
        <v>70510</v>
      </c>
      <c r="O592" s="4" t="str" cm="1">
        <f t="array" ref="O592">_xlfn.IFS(N592&lt;45000,"Under 45K",N592&lt;75000,"45K - 75K",N592&lt;100000,"75K - 100K",N592&gt;=100000,"Over 100K")</f>
        <v>45K - 75K</v>
      </c>
      <c r="P592" s="2" t="s">
        <v>47</v>
      </c>
    </row>
    <row r="593" spans="1:16">
      <c r="A593" s="2" t="s">
        <v>1228</v>
      </c>
      <c r="B593" s="2" t="s">
        <v>1229</v>
      </c>
      <c r="C593" s="2" t="s">
        <v>1179</v>
      </c>
      <c r="D593" s="2" t="s">
        <v>19</v>
      </c>
      <c r="E593" s="2">
        <v>-1.22543</v>
      </c>
      <c r="F593" s="3">
        <v>52.6</v>
      </c>
      <c r="G593" s="3">
        <v>58</v>
      </c>
      <c r="H593" s="3">
        <v>0</v>
      </c>
      <c r="I593" s="3">
        <v>0</v>
      </c>
      <c r="J593" s="3">
        <v>5.3</v>
      </c>
      <c r="K593" s="3">
        <v>10.1</v>
      </c>
      <c r="L593" s="3">
        <v>25.7</v>
      </c>
      <c r="M593" s="3">
        <v>4.2</v>
      </c>
      <c r="N593" s="4">
        <v>52240</v>
      </c>
      <c r="O593" s="4" t="str" cm="1">
        <f t="array" ref="O593">_xlfn.IFS(N593&lt;45000,"Under 45K",N593&lt;75000,"45K - 75K",N593&lt;100000,"75K - 100K",N593&gt;=100000,"Over 100K")</f>
        <v>45K - 75K</v>
      </c>
      <c r="P593" s="2" t="s">
        <v>165</v>
      </c>
    </row>
    <row r="594" spans="1:16">
      <c r="A594" s="2" t="s">
        <v>1230</v>
      </c>
      <c r="B594" s="2" t="s">
        <v>1231</v>
      </c>
      <c r="C594" s="2" t="s">
        <v>1179</v>
      </c>
      <c r="D594" s="2" t="s">
        <v>19</v>
      </c>
      <c r="E594" s="2">
        <v>-1.225611</v>
      </c>
      <c r="F594" s="3">
        <v>34.4</v>
      </c>
      <c r="G594" s="3">
        <v>32.9</v>
      </c>
      <c r="H594" s="3">
        <v>0</v>
      </c>
      <c r="I594" s="3">
        <v>0</v>
      </c>
      <c r="J594" s="3">
        <v>-1.4</v>
      </c>
      <c r="K594" s="3">
        <v>-4.0999999999999996</v>
      </c>
      <c r="L594" s="3" t="s">
        <v>30</v>
      </c>
      <c r="M594" s="3">
        <v>2.4</v>
      </c>
      <c r="N594" s="4">
        <v>48710</v>
      </c>
      <c r="O594" s="4" t="str" cm="1">
        <f t="array" ref="O594">_xlfn.IFS(N594&lt;45000,"Under 45K",N594&lt;75000,"45K - 75K",N594&lt;100000,"75K - 100K",N594&gt;=100000,"Over 100K")</f>
        <v>45K - 75K</v>
      </c>
      <c r="P594" s="2" t="s">
        <v>165</v>
      </c>
    </row>
    <row r="595" spans="1:16">
      <c r="A595" s="2" t="s">
        <v>1232</v>
      </c>
      <c r="B595" s="2" t="s">
        <v>1233</v>
      </c>
      <c r="C595" s="2" t="s">
        <v>1179</v>
      </c>
      <c r="D595" s="2" t="s">
        <v>19</v>
      </c>
      <c r="E595" s="2">
        <v>-1.268615</v>
      </c>
      <c r="F595" s="3">
        <v>27.2</v>
      </c>
      <c r="G595" s="3">
        <v>28.5</v>
      </c>
      <c r="H595" s="3">
        <v>0</v>
      </c>
      <c r="I595" s="3">
        <v>0</v>
      </c>
      <c r="J595" s="3">
        <v>1.3</v>
      </c>
      <c r="K595" s="3">
        <v>4.7</v>
      </c>
      <c r="L595" s="3">
        <v>3.3</v>
      </c>
      <c r="M595" s="3">
        <v>2.2999999999999998</v>
      </c>
      <c r="N595" s="4">
        <v>57250</v>
      </c>
      <c r="O595" s="4" t="str" cm="1">
        <f t="array" ref="O595">_xlfn.IFS(N595&lt;45000,"Under 45K",N595&lt;75000,"45K - 75K",N595&lt;100000,"75K - 100K",N595&gt;=100000,"Over 100K")</f>
        <v>45K - 75K</v>
      </c>
      <c r="P595" s="2" t="s">
        <v>47</v>
      </c>
    </row>
    <row r="596" spans="1:16">
      <c r="A596" s="2" t="s">
        <v>1234</v>
      </c>
      <c r="B596" s="2" t="s">
        <v>1235</v>
      </c>
      <c r="C596" s="2" t="s">
        <v>1179</v>
      </c>
      <c r="D596" s="2" t="s">
        <v>19</v>
      </c>
      <c r="E596" s="2">
        <v>-1.2790900000000001</v>
      </c>
      <c r="F596" s="3">
        <v>159.1</v>
      </c>
      <c r="G596" s="3">
        <v>163.9</v>
      </c>
      <c r="H596" s="3">
        <v>0.1</v>
      </c>
      <c r="I596" s="3">
        <v>0.1</v>
      </c>
      <c r="J596" s="3">
        <v>4.8</v>
      </c>
      <c r="K596" s="3">
        <v>3</v>
      </c>
      <c r="L596" s="3" t="s">
        <v>30</v>
      </c>
      <c r="M596" s="3">
        <v>12.3</v>
      </c>
      <c r="N596" s="4">
        <v>49070</v>
      </c>
      <c r="O596" s="4" t="str" cm="1">
        <f t="array" ref="O596">_xlfn.IFS(N596&lt;45000,"Under 45K",N596&lt;75000,"45K - 75K",N596&lt;100000,"75K - 100K",N596&gt;=100000,"Over 100K")</f>
        <v>45K - 75K</v>
      </c>
      <c r="P596" s="2" t="s">
        <v>47</v>
      </c>
    </row>
    <row r="597" spans="1:16">
      <c r="A597" s="2" t="s">
        <v>1236</v>
      </c>
      <c r="B597" s="2" t="s">
        <v>1237</v>
      </c>
      <c r="C597" s="2" t="s">
        <v>1179</v>
      </c>
      <c r="D597" s="2" t="s">
        <v>19</v>
      </c>
      <c r="E597" s="2">
        <v>-1.301024</v>
      </c>
      <c r="F597" s="3">
        <v>33.700000000000003</v>
      </c>
      <c r="G597" s="3">
        <v>36.9</v>
      </c>
      <c r="H597" s="3">
        <v>0</v>
      </c>
      <c r="I597" s="3">
        <v>0</v>
      </c>
      <c r="J597" s="3">
        <v>3.2</v>
      </c>
      <c r="K597" s="3">
        <v>9.5</v>
      </c>
      <c r="L597" s="3">
        <v>25.7</v>
      </c>
      <c r="M597" s="3">
        <v>2.7</v>
      </c>
      <c r="N597" s="4">
        <v>54340</v>
      </c>
      <c r="O597" s="4" t="str" cm="1">
        <f t="array" ref="O597">_xlfn.IFS(N597&lt;45000,"Under 45K",N597&lt;75000,"45K - 75K",N597&lt;100000,"75K - 100K",N597&gt;=100000,"Over 100K")</f>
        <v>45K - 75K</v>
      </c>
      <c r="P597" s="2" t="s">
        <v>165</v>
      </c>
    </row>
    <row r="598" spans="1:16">
      <c r="A598" s="2" t="s">
        <v>1238</v>
      </c>
      <c r="B598" s="2" t="s">
        <v>1239</v>
      </c>
      <c r="C598" s="2" t="s">
        <v>1179</v>
      </c>
      <c r="D598" s="2" t="s">
        <v>19</v>
      </c>
      <c r="E598" s="2">
        <v>-1.323631</v>
      </c>
      <c r="F598" s="3">
        <v>959</v>
      </c>
      <c r="G598" s="3">
        <v>1002.1</v>
      </c>
      <c r="H598" s="3">
        <v>0.6</v>
      </c>
      <c r="I598" s="3">
        <v>0.6</v>
      </c>
      <c r="J598" s="3">
        <v>43.1</v>
      </c>
      <c r="K598" s="3">
        <v>4.5</v>
      </c>
      <c r="L598" s="3">
        <v>26.8</v>
      </c>
      <c r="M598" s="3">
        <v>74.099999999999994</v>
      </c>
      <c r="N598" s="4">
        <v>59310</v>
      </c>
      <c r="O598" s="4" t="str" cm="1">
        <f t="array" ref="O598">_xlfn.IFS(N598&lt;45000,"Under 45K",N598&lt;75000,"45K - 75K",N598&lt;100000,"75K - 100K",N598&gt;=100000,"Over 100K")</f>
        <v>45K - 75K</v>
      </c>
      <c r="P598" s="2" t="s">
        <v>47</v>
      </c>
    </row>
    <row r="599" spans="1:16">
      <c r="A599" s="2" t="s">
        <v>1240</v>
      </c>
      <c r="B599" s="2" t="s">
        <v>1241</v>
      </c>
      <c r="C599" s="2" t="s">
        <v>1179</v>
      </c>
      <c r="D599" s="2" t="s">
        <v>19</v>
      </c>
      <c r="E599" s="2">
        <v>-1.3889009999999999</v>
      </c>
      <c r="F599" s="3">
        <v>60.5</v>
      </c>
      <c r="G599" s="3">
        <v>62.5</v>
      </c>
      <c r="H599" s="3">
        <v>0</v>
      </c>
      <c r="I599" s="3">
        <v>0</v>
      </c>
      <c r="J599" s="3">
        <v>2</v>
      </c>
      <c r="K599" s="3">
        <v>3.3</v>
      </c>
      <c r="L599" s="3">
        <v>7.1</v>
      </c>
      <c r="M599" s="3">
        <v>5.0999999999999996</v>
      </c>
      <c r="N599" s="4">
        <v>55440</v>
      </c>
      <c r="O599" s="4" t="str" cm="1">
        <f t="array" ref="O599">_xlfn.IFS(N599&lt;45000,"Under 45K",N599&lt;75000,"45K - 75K",N599&lt;100000,"75K - 100K",N599&gt;=100000,"Over 100K")</f>
        <v>45K - 75K</v>
      </c>
      <c r="P599" s="2" t="s">
        <v>47</v>
      </c>
    </row>
    <row r="600" spans="1:16">
      <c r="A600" s="2" t="s">
        <v>1242</v>
      </c>
      <c r="B600" s="2" t="s">
        <v>1243</v>
      </c>
      <c r="C600" s="2" t="s">
        <v>1179</v>
      </c>
      <c r="D600" s="2" t="s">
        <v>19</v>
      </c>
      <c r="E600" s="2">
        <v>-1.39906</v>
      </c>
      <c r="F600" s="3">
        <v>15</v>
      </c>
      <c r="G600" s="3">
        <v>15.3</v>
      </c>
      <c r="H600" s="3">
        <v>0</v>
      </c>
      <c r="I600" s="3">
        <v>0</v>
      </c>
      <c r="J600" s="3">
        <v>0.2</v>
      </c>
      <c r="K600" s="3">
        <v>1.6</v>
      </c>
      <c r="L600" s="3" t="s">
        <v>30</v>
      </c>
      <c r="M600" s="3">
        <v>1.1000000000000001</v>
      </c>
      <c r="N600" s="4">
        <v>67370</v>
      </c>
      <c r="O600" s="4" t="str" cm="1">
        <f t="array" ref="O600">_xlfn.IFS(N600&lt;45000,"Under 45K",N600&lt;75000,"45K - 75K",N600&lt;100000,"75K - 100K",N600&gt;=100000,"Over 100K")</f>
        <v>45K - 75K</v>
      </c>
      <c r="P600" s="2" t="s">
        <v>47</v>
      </c>
    </row>
    <row r="601" spans="1:16">
      <c r="A601" s="2" t="s">
        <v>1244</v>
      </c>
      <c r="B601" s="2" t="s">
        <v>1245</v>
      </c>
      <c r="C601" s="2" t="s">
        <v>1179</v>
      </c>
      <c r="D601" s="2" t="s">
        <v>19</v>
      </c>
      <c r="E601" s="2">
        <v>-1.4150020000000001</v>
      </c>
      <c r="F601" s="3">
        <v>11.3</v>
      </c>
      <c r="G601" s="3">
        <v>11.3</v>
      </c>
      <c r="H601" s="3">
        <v>0</v>
      </c>
      <c r="I601" s="3">
        <v>0</v>
      </c>
      <c r="J601" s="3">
        <v>0.1</v>
      </c>
      <c r="K601" s="3">
        <v>0.5</v>
      </c>
      <c r="L601" s="3">
        <v>1.4</v>
      </c>
      <c r="M601" s="3">
        <v>1</v>
      </c>
      <c r="N601" s="4">
        <v>62740</v>
      </c>
      <c r="O601" s="4" t="str" cm="1">
        <f t="array" ref="O601">_xlfn.IFS(N601&lt;45000,"Under 45K",N601&lt;75000,"45K - 75K",N601&lt;100000,"75K - 100K",N601&gt;=100000,"Over 100K")</f>
        <v>45K - 75K</v>
      </c>
      <c r="P601" s="2" t="s">
        <v>165</v>
      </c>
    </row>
    <row r="602" spans="1:16">
      <c r="A602" s="2" t="s">
        <v>1246</v>
      </c>
      <c r="B602" s="2" t="s">
        <v>1247</v>
      </c>
      <c r="C602" s="2" t="s">
        <v>1179</v>
      </c>
      <c r="D602" s="2" t="s">
        <v>19</v>
      </c>
      <c r="E602" s="2">
        <v>-1.4252819999999999</v>
      </c>
      <c r="F602" s="3">
        <v>25.2</v>
      </c>
      <c r="G602" s="3">
        <v>26.4</v>
      </c>
      <c r="H602" s="3">
        <v>0</v>
      </c>
      <c r="I602" s="3">
        <v>0</v>
      </c>
      <c r="J602" s="3">
        <v>1.1000000000000001</v>
      </c>
      <c r="K602" s="3">
        <v>4.5</v>
      </c>
      <c r="L602" s="3">
        <v>1.8</v>
      </c>
      <c r="M602" s="3">
        <v>2.7</v>
      </c>
      <c r="N602" s="4">
        <v>41600</v>
      </c>
      <c r="O602" s="4" t="str" cm="1">
        <f t="array" ref="O602">_xlfn.IFS(N602&lt;45000,"Under 45K",N602&lt;75000,"45K - 75K",N602&lt;100000,"75K - 100K",N602&gt;=100000,"Over 100K")</f>
        <v>Under 45K</v>
      </c>
      <c r="P602" s="2" t="s">
        <v>165</v>
      </c>
    </row>
    <row r="603" spans="1:16">
      <c r="A603" s="2" t="s">
        <v>1248</v>
      </c>
      <c r="B603" s="2" t="s">
        <v>1249</v>
      </c>
      <c r="C603" s="2" t="s">
        <v>1179</v>
      </c>
      <c r="D603" s="2" t="s">
        <v>19</v>
      </c>
      <c r="E603" s="2">
        <v>-1.506896</v>
      </c>
      <c r="F603" s="3">
        <v>66.599999999999994</v>
      </c>
      <c r="G603" s="3">
        <v>66.7</v>
      </c>
      <c r="H603" s="3">
        <v>0</v>
      </c>
      <c r="I603" s="3">
        <v>0</v>
      </c>
      <c r="J603" s="3">
        <v>0.1</v>
      </c>
      <c r="K603" s="3">
        <v>0.2</v>
      </c>
      <c r="L603" s="3">
        <v>1.8</v>
      </c>
      <c r="M603" s="3">
        <v>6.8</v>
      </c>
      <c r="N603" s="4">
        <v>39890</v>
      </c>
      <c r="O603" s="4" t="str" cm="1">
        <f t="array" ref="O603">_xlfn.IFS(N603&lt;45000,"Under 45K",N603&lt;75000,"45K - 75K",N603&lt;100000,"75K - 100K",N603&gt;=100000,"Over 100K")</f>
        <v>Under 45K</v>
      </c>
      <c r="P603" s="2" t="s">
        <v>47</v>
      </c>
    </row>
    <row r="604" spans="1:16">
      <c r="A604" s="2" t="s">
        <v>1250</v>
      </c>
      <c r="B604" s="2" t="s">
        <v>1251</v>
      </c>
      <c r="C604" s="2" t="s">
        <v>1179</v>
      </c>
      <c r="D604" s="2" t="s">
        <v>19</v>
      </c>
      <c r="E604" s="2">
        <v>-1.518977</v>
      </c>
      <c r="F604" s="3">
        <v>46</v>
      </c>
      <c r="G604" s="3">
        <v>47.1</v>
      </c>
      <c r="H604" s="3">
        <v>0</v>
      </c>
      <c r="I604" s="3">
        <v>0</v>
      </c>
      <c r="J604" s="3">
        <v>1.1000000000000001</v>
      </c>
      <c r="K604" s="3">
        <v>2.5</v>
      </c>
      <c r="L604" s="3">
        <v>1.4</v>
      </c>
      <c r="M604" s="3">
        <v>4.3</v>
      </c>
      <c r="N604" s="4">
        <v>47510</v>
      </c>
      <c r="O604" s="4" t="str" cm="1">
        <f t="array" ref="O604">_xlfn.IFS(N604&lt;45000,"Under 45K",N604&lt;75000,"45K - 75K",N604&lt;100000,"75K - 100K",N604&gt;=100000,"Over 100K")</f>
        <v>45K - 75K</v>
      </c>
      <c r="P604" s="2" t="s">
        <v>165</v>
      </c>
    </row>
    <row r="605" spans="1:16">
      <c r="A605" s="2" t="s">
        <v>1252</v>
      </c>
      <c r="B605" s="2" t="s">
        <v>1253</v>
      </c>
      <c r="C605" s="2" t="s">
        <v>1179</v>
      </c>
      <c r="D605" s="2" t="s">
        <v>19</v>
      </c>
      <c r="E605" s="2">
        <v>-1.5407740000000001</v>
      </c>
      <c r="F605" s="3">
        <v>15.6</v>
      </c>
      <c r="G605" s="3">
        <v>15.6</v>
      </c>
      <c r="H605" s="3">
        <v>0</v>
      </c>
      <c r="I605" s="3">
        <v>0</v>
      </c>
      <c r="J605" s="3">
        <v>0</v>
      </c>
      <c r="K605" s="3">
        <v>0.1</v>
      </c>
      <c r="L605" s="3">
        <v>19.5</v>
      </c>
      <c r="M605" s="3">
        <v>1.1000000000000001</v>
      </c>
      <c r="N605" s="4">
        <v>64700</v>
      </c>
      <c r="O605" s="4" t="str" cm="1">
        <f t="array" ref="O605">_xlfn.IFS(N605&lt;45000,"Under 45K",N605&lt;75000,"45K - 75K",N605&lt;100000,"75K - 100K",N605&gt;=100000,"Over 100K")</f>
        <v>45K - 75K</v>
      </c>
      <c r="P605" s="2" t="s">
        <v>165</v>
      </c>
    </row>
    <row r="606" spans="1:16">
      <c r="A606" s="2" t="s">
        <v>1254</v>
      </c>
      <c r="B606" s="2" t="s">
        <v>1255</v>
      </c>
      <c r="C606" s="2" t="s">
        <v>1179</v>
      </c>
      <c r="D606" s="2" t="s">
        <v>19</v>
      </c>
      <c r="E606" s="2">
        <v>-1.5431539999999999</v>
      </c>
      <c r="F606" s="3">
        <v>7</v>
      </c>
      <c r="G606" s="3">
        <v>6.9</v>
      </c>
      <c r="H606" s="3">
        <v>0</v>
      </c>
      <c r="I606" s="3">
        <v>0</v>
      </c>
      <c r="J606" s="3">
        <v>-0.1</v>
      </c>
      <c r="K606" s="3">
        <v>-1.7</v>
      </c>
      <c r="L606" s="3">
        <v>3.3</v>
      </c>
      <c r="M606" s="3">
        <v>0.7</v>
      </c>
      <c r="N606" s="4">
        <v>48400</v>
      </c>
      <c r="O606" s="4" t="str" cm="1">
        <f t="array" ref="O606">_xlfn.IFS(N606&lt;45000,"Under 45K",N606&lt;75000,"45K - 75K",N606&lt;100000,"75K - 100K",N606&gt;=100000,"Over 100K")</f>
        <v>45K - 75K</v>
      </c>
      <c r="P606" s="2" t="s">
        <v>47</v>
      </c>
    </row>
    <row r="607" spans="1:16">
      <c r="A607" s="2" t="s">
        <v>1256</v>
      </c>
      <c r="B607" s="2" t="s">
        <v>1257</v>
      </c>
      <c r="C607" s="2" t="s">
        <v>1179</v>
      </c>
      <c r="D607" s="2" t="s">
        <v>19</v>
      </c>
      <c r="E607" s="2">
        <v>-1.5645770000000001</v>
      </c>
      <c r="F607" s="3">
        <v>20.3</v>
      </c>
      <c r="G607" s="3">
        <v>18.3</v>
      </c>
      <c r="H607" s="3">
        <v>0</v>
      </c>
      <c r="I607" s="3">
        <v>0</v>
      </c>
      <c r="J607" s="3">
        <v>-1.9</v>
      </c>
      <c r="K607" s="3">
        <v>-9.6</v>
      </c>
      <c r="L607" s="3">
        <v>25.6</v>
      </c>
      <c r="M607" s="3">
        <v>1.1000000000000001</v>
      </c>
      <c r="N607" s="4">
        <v>49850</v>
      </c>
      <c r="O607" s="4" t="str" cm="1">
        <f t="array" ref="O607">_xlfn.IFS(N607&lt;45000,"Under 45K",N607&lt;75000,"45K - 75K",N607&lt;100000,"75K - 100K",N607&gt;=100000,"Over 100K")</f>
        <v>45K - 75K</v>
      </c>
      <c r="P607" s="2" t="s">
        <v>165</v>
      </c>
    </row>
    <row r="608" spans="1:16">
      <c r="A608" s="2" t="s">
        <v>1258</v>
      </c>
      <c r="B608" s="2" t="s">
        <v>1259</v>
      </c>
      <c r="C608" s="2" t="s">
        <v>1179</v>
      </c>
      <c r="D608" s="2" t="s">
        <v>19</v>
      </c>
      <c r="E608" s="2">
        <v>-1.58799</v>
      </c>
      <c r="F608" s="3">
        <v>342.2</v>
      </c>
      <c r="G608" s="3">
        <v>355.2</v>
      </c>
      <c r="H608" s="3">
        <v>0.2</v>
      </c>
      <c r="I608" s="3">
        <v>0.2</v>
      </c>
      <c r="J608" s="3">
        <v>13</v>
      </c>
      <c r="K608" s="3">
        <v>3.8</v>
      </c>
      <c r="L608" s="3">
        <v>33.799999999999997</v>
      </c>
      <c r="M608" s="3">
        <v>28.1</v>
      </c>
      <c r="N608" s="4">
        <v>48660</v>
      </c>
      <c r="O608" s="4" t="str" cm="1">
        <f t="array" ref="O608">_xlfn.IFS(N608&lt;45000,"Under 45K",N608&lt;75000,"45K - 75K",N608&lt;100000,"75K - 100K",N608&gt;=100000,"Over 100K")</f>
        <v>45K - 75K</v>
      </c>
      <c r="P608" s="2" t="s">
        <v>165</v>
      </c>
    </row>
    <row r="609" spans="1:16">
      <c r="A609" s="2" t="s">
        <v>1260</v>
      </c>
      <c r="B609" s="2" t="s">
        <v>1261</v>
      </c>
      <c r="C609" s="2" t="s">
        <v>1179</v>
      </c>
      <c r="D609" s="2" t="s">
        <v>19</v>
      </c>
      <c r="E609" s="2">
        <v>-1.6187720000000001</v>
      </c>
      <c r="F609" s="3">
        <v>40.200000000000003</v>
      </c>
      <c r="G609" s="3">
        <v>41.7</v>
      </c>
      <c r="H609" s="3">
        <v>0</v>
      </c>
      <c r="I609" s="3">
        <v>0</v>
      </c>
      <c r="J609" s="3">
        <v>1.5</v>
      </c>
      <c r="K609" s="3">
        <v>3.8</v>
      </c>
      <c r="L609" s="3">
        <v>3.5</v>
      </c>
      <c r="M609" s="3">
        <v>3.4</v>
      </c>
      <c r="N609" s="4">
        <v>48680</v>
      </c>
      <c r="O609" s="4" t="str" cm="1">
        <f t="array" ref="O609">_xlfn.IFS(N609&lt;45000,"Under 45K",N609&lt;75000,"45K - 75K",N609&lt;100000,"75K - 100K",N609&gt;=100000,"Over 100K")</f>
        <v>45K - 75K</v>
      </c>
      <c r="P609" s="2" t="s">
        <v>165</v>
      </c>
    </row>
    <row r="610" spans="1:16">
      <c r="A610" s="2" t="s">
        <v>1262</v>
      </c>
      <c r="B610" s="2" t="s">
        <v>1263</v>
      </c>
      <c r="C610" s="2" t="s">
        <v>1179</v>
      </c>
      <c r="D610" s="2" t="s">
        <v>19</v>
      </c>
      <c r="E610" s="2">
        <v>-1.6229880000000001</v>
      </c>
      <c r="F610" s="3">
        <v>1457</v>
      </c>
      <c r="G610" s="3">
        <v>1563.4</v>
      </c>
      <c r="H610" s="3">
        <v>0.9</v>
      </c>
      <c r="I610" s="3">
        <v>0.9</v>
      </c>
      <c r="J610" s="3">
        <v>106.5</v>
      </c>
      <c r="K610" s="3">
        <v>7.3</v>
      </c>
      <c r="L610" s="3">
        <v>26.9</v>
      </c>
      <c r="M610" s="3">
        <v>129.4</v>
      </c>
      <c r="N610" s="4">
        <v>46730</v>
      </c>
      <c r="O610" s="4" t="str" cm="1">
        <f t="array" ref="O610">_xlfn.IFS(N610&lt;45000,"Under 45K",N610&lt;75000,"45K - 75K",N610&lt;100000,"75K - 100K",N610&gt;=100000,"Over 100K")</f>
        <v>45K - 75K</v>
      </c>
      <c r="P610" s="2" t="s">
        <v>165</v>
      </c>
    </row>
    <row r="611" spans="1:16">
      <c r="A611" s="2" t="s">
        <v>1264</v>
      </c>
      <c r="B611" s="2" t="s">
        <v>1265</v>
      </c>
      <c r="C611" s="2" t="s">
        <v>1179</v>
      </c>
      <c r="D611" s="2" t="s">
        <v>19</v>
      </c>
      <c r="E611" s="2">
        <v>-1.6479710000000001</v>
      </c>
      <c r="F611" s="3">
        <v>103.1</v>
      </c>
      <c r="G611" s="3">
        <v>107.4</v>
      </c>
      <c r="H611" s="3">
        <v>0.1</v>
      </c>
      <c r="I611" s="3">
        <v>0.1</v>
      </c>
      <c r="J611" s="3">
        <v>4.3</v>
      </c>
      <c r="K611" s="3">
        <v>4.2</v>
      </c>
      <c r="L611" s="3">
        <v>19.5</v>
      </c>
      <c r="M611" s="3">
        <v>7.7</v>
      </c>
      <c r="N611" s="4">
        <v>58140</v>
      </c>
      <c r="O611" s="4" t="str" cm="1">
        <f t="array" ref="O611">_xlfn.IFS(N611&lt;45000,"Under 45K",N611&lt;75000,"45K - 75K",N611&lt;100000,"75K - 100K",N611&gt;=100000,"Over 100K")</f>
        <v>45K - 75K</v>
      </c>
      <c r="P611" s="2" t="s">
        <v>165</v>
      </c>
    </row>
    <row r="612" spans="1:16">
      <c r="A612" s="2" t="s">
        <v>1266</v>
      </c>
      <c r="B612" s="2" t="s">
        <v>1267</v>
      </c>
      <c r="C612" s="2" t="s">
        <v>1179</v>
      </c>
      <c r="D612" s="2" t="s">
        <v>19</v>
      </c>
      <c r="E612" s="2">
        <v>-1.678876</v>
      </c>
      <c r="F612" s="3">
        <v>45.3</v>
      </c>
      <c r="G612" s="3">
        <v>47.5</v>
      </c>
      <c r="H612" s="3">
        <v>0</v>
      </c>
      <c r="I612" s="3">
        <v>0</v>
      </c>
      <c r="J612" s="3">
        <v>2.2000000000000002</v>
      </c>
      <c r="K612" s="3">
        <v>4.9000000000000004</v>
      </c>
      <c r="L612" s="3">
        <v>1.8</v>
      </c>
      <c r="M612" s="3">
        <v>4.9000000000000004</v>
      </c>
      <c r="N612" s="4">
        <v>39270</v>
      </c>
      <c r="O612" s="4" t="str" cm="1">
        <f t="array" ref="O612">_xlfn.IFS(N612&lt;45000,"Under 45K",N612&lt;75000,"45K - 75K",N612&lt;100000,"75K - 100K",N612&gt;=100000,"Over 100K")</f>
        <v>Under 45K</v>
      </c>
      <c r="P612" s="2" t="s">
        <v>47</v>
      </c>
    </row>
    <row r="613" spans="1:16">
      <c r="A613" s="2" t="s">
        <v>1268</v>
      </c>
      <c r="B613" s="2" t="s">
        <v>1269</v>
      </c>
      <c r="C613" s="2" t="s">
        <v>1179</v>
      </c>
      <c r="D613" s="2" t="s">
        <v>19</v>
      </c>
      <c r="E613" s="2">
        <v>-1.7147589999999999</v>
      </c>
      <c r="F613" s="3">
        <v>12.1</v>
      </c>
      <c r="G613" s="3">
        <v>11.8</v>
      </c>
      <c r="H613" s="3">
        <v>0</v>
      </c>
      <c r="I613" s="3">
        <v>0</v>
      </c>
      <c r="J613" s="3">
        <v>-0.4</v>
      </c>
      <c r="K613" s="3">
        <v>-3</v>
      </c>
      <c r="L613" s="3">
        <v>27.3</v>
      </c>
      <c r="M613" s="3">
        <v>0.8</v>
      </c>
      <c r="N613" s="4">
        <v>51990</v>
      </c>
      <c r="O613" s="4" t="str" cm="1">
        <f t="array" ref="O613">_xlfn.IFS(N613&lt;45000,"Under 45K",N613&lt;75000,"45K - 75K",N613&lt;100000,"75K - 100K",N613&gt;=100000,"Over 100K")</f>
        <v>45K - 75K</v>
      </c>
      <c r="P613" s="2" t="s">
        <v>47</v>
      </c>
    </row>
    <row r="614" spans="1:16">
      <c r="A614" s="2" t="s">
        <v>1270</v>
      </c>
      <c r="B614" s="2" t="s">
        <v>1271</v>
      </c>
      <c r="C614" s="2" t="s">
        <v>1179</v>
      </c>
      <c r="D614" s="2" t="s">
        <v>19</v>
      </c>
      <c r="E614" s="2">
        <v>-1.72753</v>
      </c>
      <c r="F614" s="3">
        <v>2.2999999999999998</v>
      </c>
      <c r="G614" s="3">
        <v>2.5</v>
      </c>
      <c r="H614" s="3">
        <v>0</v>
      </c>
      <c r="I614" s="3">
        <v>0</v>
      </c>
      <c r="J614" s="3">
        <v>0.1</v>
      </c>
      <c r="K614" s="3">
        <v>5.3</v>
      </c>
      <c r="L614" s="3">
        <v>34.799999999999997</v>
      </c>
      <c r="M614" s="3">
        <v>0.2</v>
      </c>
      <c r="N614" s="4">
        <v>48260</v>
      </c>
      <c r="O614" s="4" t="str" cm="1">
        <f t="array" ref="O614">_xlfn.IFS(N614&lt;45000,"Under 45K",N614&lt;75000,"45K - 75K",N614&lt;100000,"75K - 100K",N614&gt;=100000,"Over 100K")</f>
        <v>45K - 75K</v>
      </c>
      <c r="P614" s="2" t="s">
        <v>165</v>
      </c>
    </row>
    <row r="615" spans="1:16">
      <c r="A615" s="2" t="s">
        <v>1272</v>
      </c>
      <c r="B615" s="2" t="s">
        <v>1273</v>
      </c>
      <c r="C615" s="2" t="s">
        <v>1179</v>
      </c>
      <c r="D615" s="2" t="s">
        <v>19</v>
      </c>
      <c r="E615" s="2">
        <v>-1.7487220000000001</v>
      </c>
      <c r="F615" s="3">
        <v>5.6</v>
      </c>
      <c r="G615" s="3">
        <v>5.8</v>
      </c>
      <c r="H615" s="3">
        <v>0</v>
      </c>
      <c r="I615" s="3">
        <v>0</v>
      </c>
      <c r="J615" s="3">
        <v>0.1</v>
      </c>
      <c r="K615" s="3">
        <v>2.6</v>
      </c>
      <c r="L615" s="3">
        <v>25.7</v>
      </c>
      <c r="M615" s="3">
        <v>0.4</v>
      </c>
      <c r="N615" s="4">
        <v>49150</v>
      </c>
      <c r="O615" s="4" t="str" cm="1">
        <f t="array" ref="O615">_xlfn.IFS(N615&lt;45000,"Under 45K",N615&lt;75000,"45K - 75K",N615&lt;100000,"75K - 100K",N615&gt;=100000,"Over 100K")</f>
        <v>45K - 75K</v>
      </c>
      <c r="P615" s="2" t="s">
        <v>165</v>
      </c>
    </row>
    <row r="616" spans="1:16">
      <c r="A616" s="2" t="s">
        <v>1274</v>
      </c>
      <c r="B616" s="2" t="s">
        <v>1275</v>
      </c>
      <c r="C616" s="2" t="s">
        <v>1179</v>
      </c>
      <c r="D616" s="2" t="s">
        <v>19</v>
      </c>
      <c r="E616" s="2">
        <v>-1.7529410000000001</v>
      </c>
      <c r="F616" s="3">
        <v>166.7</v>
      </c>
      <c r="G616" s="3">
        <v>176.5</v>
      </c>
      <c r="H616" s="3">
        <v>0.1</v>
      </c>
      <c r="I616" s="3">
        <v>0.1</v>
      </c>
      <c r="J616" s="3">
        <v>9.8000000000000007</v>
      </c>
      <c r="K616" s="3">
        <v>5.9</v>
      </c>
      <c r="L616" s="3">
        <v>18.3</v>
      </c>
      <c r="M616" s="3">
        <v>12.7</v>
      </c>
      <c r="N616" s="4">
        <v>50970</v>
      </c>
      <c r="O616" s="4" t="str" cm="1">
        <f t="array" ref="O616">_xlfn.IFS(N616&lt;45000,"Under 45K",N616&lt;75000,"45K - 75K",N616&lt;100000,"75K - 100K",N616&gt;=100000,"Over 100K")</f>
        <v>45K - 75K</v>
      </c>
      <c r="P616" s="2" t="s">
        <v>165</v>
      </c>
    </row>
    <row r="617" spans="1:16">
      <c r="A617" s="2" t="s">
        <v>1276</v>
      </c>
      <c r="B617" s="2" t="s">
        <v>1277</v>
      </c>
      <c r="C617" s="2" t="s">
        <v>1179</v>
      </c>
      <c r="D617" s="2" t="s">
        <v>19</v>
      </c>
      <c r="E617" s="2">
        <v>-1.75434</v>
      </c>
      <c r="F617" s="3">
        <v>74.099999999999994</v>
      </c>
      <c r="G617" s="3">
        <v>76.400000000000006</v>
      </c>
      <c r="H617" s="3">
        <v>0</v>
      </c>
      <c r="I617" s="3">
        <v>0</v>
      </c>
      <c r="J617" s="3">
        <v>2.4</v>
      </c>
      <c r="K617" s="3">
        <v>3.2</v>
      </c>
      <c r="L617" s="3">
        <v>27.1</v>
      </c>
      <c r="M617" s="3">
        <v>5.6</v>
      </c>
      <c r="N617" s="4">
        <v>60800</v>
      </c>
      <c r="O617" s="4" t="str" cm="1">
        <f t="array" ref="O617">_xlfn.IFS(N617&lt;45000,"Under 45K",N617&lt;75000,"45K - 75K",N617&lt;100000,"75K - 100K",N617&gt;=100000,"Over 100K")</f>
        <v>45K - 75K</v>
      </c>
      <c r="P617" s="2" t="s">
        <v>47</v>
      </c>
    </row>
    <row r="618" spans="1:16">
      <c r="A618" s="2" t="s">
        <v>1278</v>
      </c>
      <c r="B618" s="2" t="s">
        <v>1279</v>
      </c>
      <c r="C618" s="2" t="s">
        <v>1179</v>
      </c>
      <c r="D618" s="2" t="s">
        <v>19</v>
      </c>
      <c r="E618" s="2">
        <v>-1.7555879999999999</v>
      </c>
      <c r="F618" s="3">
        <v>24.2</v>
      </c>
      <c r="G618" s="3">
        <v>25.2</v>
      </c>
      <c r="H618" s="3">
        <v>0</v>
      </c>
      <c r="I618" s="3">
        <v>0</v>
      </c>
      <c r="J618" s="3">
        <v>1</v>
      </c>
      <c r="K618" s="3">
        <v>4.0999999999999996</v>
      </c>
      <c r="L618" s="3">
        <v>13.4</v>
      </c>
      <c r="M618" s="3">
        <v>1.9</v>
      </c>
      <c r="N618" s="4">
        <v>56020</v>
      </c>
      <c r="O618" s="4" t="str" cm="1">
        <f t="array" ref="O618">_xlfn.IFS(N618&lt;45000,"Under 45K",N618&lt;75000,"45K - 75K",N618&lt;100000,"75K - 100K",N618&gt;=100000,"Over 100K")</f>
        <v>45K - 75K</v>
      </c>
      <c r="P618" s="2" t="s">
        <v>165</v>
      </c>
    </row>
    <row r="619" spans="1:16">
      <c r="A619" s="2" t="s">
        <v>1280</v>
      </c>
      <c r="B619" s="2" t="s">
        <v>1281</v>
      </c>
      <c r="C619" s="2" t="s">
        <v>1179</v>
      </c>
      <c r="D619" s="2" t="s">
        <v>19</v>
      </c>
      <c r="E619" s="2">
        <v>-1.7634939999999999</v>
      </c>
      <c r="F619" s="3">
        <v>3.2</v>
      </c>
      <c r="G619" s="3">
        <v>3.4</v>
      </c>
      <c r="H619" s="3">
        <v>0</v>
      </c>
      <c r="I619" s="3">
        <v>0</v>
      </c>
      <c r="J619" s="3">
        <v>0.1</v>
      </c>
      <c r="K619" s="3">
        <v>4.4000000000000004</v>
      </c>
      <c r="L619" s="3">
        <v>3.3</v>
      </c>
      <c r="M619" s="3">
        <v>0.4</v>
      </c>
      <c r="N619" s="4">
        <v>47460</v>
      </c>
      <c r="O619" s="4" t="str" cm="1">
        <f t="array" ref="O619">_xlfn.IFS(N619&lt;45000,"Under 45K",N619&lt;75000,"45K - 75K",N619&lt;100000,"75K - 100K",N619&gt;=100000,"Over 100K")</f>
        <v>45K - 75K</v>
      </c>
      <c r="P619" s="2" t="s">
        <v>165</v>
      </c>
    </row>
    <row r="620" spans="1:16">
      <c r="A620" s="2" t="s">
        <v>1282</v>
      </c>
      <c r="B620" s="2" t="s">
        <v>1283</v>
      </c>
      <c r="C620" s="2" t="s">
        <v>1179</v>
      </c>
      <c r="D620" s="2" t="s">
        <v>19</v>
      </c>
      <c r="E620" s="2">
        <v>-1.776065</v>
      </c>
      <c r="F620" s="3">
        <v>1.5</v>
      </c>
      <c r="G620" s="3">
        <v>1.3</v>
      </c>
      <c r="H620" s="3">
        <v>0</v>
      </c>
      <c r="I620" s="3">
        <v>0</v>
      </c>
      <c r="J620" s="3">
        <v>-0.2</v>
      </c>
      <c r="K620" s="3">
        <v>-11.1</v>
      </c>
      <c r="L620" s="3" t="s">
        <v>30</v>
      </c>
      <c r="M620" s="3">
        <v>0.1</v>
      </c>
      <c r="N620" s="4">
        <v>57260</v>
      </c>
      <c r="O620" s="4" t="str" cm="1">
        <f t="array" ref="O620">_xlfn.IFS(N620&lt;45000,"Under 45K",N620&lt;75000,"45K - 75K",N620&lt;100000,"75K - 100K",N620&gt;=100000,"Over 100K")</f>
        <v>45K - 75K</v>
      </c>
      <c r="P620" s="2" t="s">
        <v>47</v>
      </c>
    </row>
    <row r="621" spans="1:16">
      <c r="A621" s="2" t="s">
        <v>1284</v>
      </c>
      <c r="B621" s="2" t="s">
        <v>1285</v>
      </c>
      <c r="C621" s="2" t="s">
        <v>1179</v>
      </c>
      <c r="D621" s="2" t="s">
        <v>19</v>
      </c>
      <c r="E621" s="2">
        <v>-1.777407</v>
      </c>
      <c r="F621" s="3">
        <v>206.7</v>
      </c>
      <c r="G621" s="3">
        <v>210.4</v>
      </c>
      <c r="H621" s="3">
        <v>0.1</v>
      </c>
      <c r="I621" s="3">
        <v>0.1</v>
      </c>
      <c r="J621" s="3">
        <v>3.8</v>
      </c>
      <c r="K621" s="3">
        <v>1.8</v>
      </c>
      <c r="L621" s="3">
        <v>1</v>
      </c>
      <c r="M621" s="3">
        <v>14.3</v>
      </c>
      <c r="N621" s="4">
        <v>54660</v>
      </c>
      <c r="O621" s="4" t="str" cm="1">
        <f t="array" ref="O621">_xlfn.IFS(N621&lt;45000,"Under 45K",N621&lt;75000,"45K - 75K",N621&lt;100000,"75K - 100K",N621&gt;=100000,"Over 100K")</f>
        <v>45K - 75K</v>
      </c>
      <c r="P621" s="2" t="s">
        <v>165</v>
      </c>
    </row>
    <row r="622" spans="1:16">
      <c r="A622" s="2" t="s">
        <v>1286</v>
      </c>
      <c r="B622" s="2" t="s">
        <v>1287</v>
      </c>
      <c r="C622" s="2" t="s">
        <v>1179</v>
      </c>
      <c r="D622" s="2" t="s">
        <v>19</v>
      </c>
      <c r="E622" s="2">
        <v>-1.780065</v>
      </c>
      <c r="F622" s="3">
        <v>65.7</v>
      </c>
      <c r="G622" s="3">
        <v>68.599999999999994</v>
      </c>
      <c r="H622" s="3">
        <v>0</v>
      </c>
      <c r="I622" s="3">
        <v>0</v>
      </c>
      <c r="J622" s="3">
        <v>2.9</v>
      </c>
      <c r="K622" s="3">
        <v>4.4000000000000004</v>
      </c>
      <c r="L622" s="3">
        <v>1.9</v>
      </c>
      <c r="M622" s="3">
        <v>5.5</v>
      </c>
      <c r="N622" s="4">
        <v>62700</v>
      </c>
      <c r="O622" s="4" t="str" cm="1">
        <f t="array" ref="O622">_xlfn.IFS(N622&lt;45000,"Under 45K",N622&lt;75000,"45K - 75K",N622&lt;100000,"75K - 100K",N622&gt;=100000,"Over 100K")</f>
        <v>45K - 75K</v>
      </c>
      <c r="P622" s="2" t="s">
        <v>47</v>
      </c>
    </row>
    <row r="623" spans="1:16">
      <c r="A623" s="2" t="s">
        <v>1288</v>
      </c>
      <c r="B623" s="2" t="s">
        <v>1289</v>
      </c>
      <c r="C623" s="2" t="s">
        <v>1179</v>
      </c>
      <c r="D623" s="2" t="s">
        <v>19</v>
      </c>
      <c r="E623" s="2">
        <v>-1.89822</v>
      </c>
      <c r="F623" s="3">
        <v>5.2</v>
      </c>
      <c r="G623" s="3">
        <v>5.5</v>
      </c>
      <c r="H623" s="3">
        <v>0</v>
      </c>
      <c r="I623" s="3">
        <v>0</v>
      </c>
      <c r="J623" s="3">
        <v>0.3</v>
      </c>
      <c r="K623" s="3">
        <v>5.7</v>
      </c>
      <c r="L623" s="3">
        <v>1.9</v>
      </c>
      <c r="M623" s="3">
        <v>0.6</v>
      </c>
      <c r="N623" s="4">
        <v>40590</v>
      </c>
      <c r="O623" s="4" t="str" cm="1">
        <f t="array" ref="O623">_xlfn.IFS(N623&lt;45000,"Under 45K",N623&lt;75000,"45K - 75K",N623&lt;100000,"75K - 100K",N623&gt;=100000,"Over 100K")</f>
        <v>Under 45K</v>
      </c>
      <c r="P623" s="2" t="s">
        <v>165</v>
      </c>
    </row>
    <row r="624" spans="1:16">
      <c r="A624" s="2" t="s">
        <v>1290</v>
      </c>
      <c r="B624" s="2" t="s">
        <v>1291</v>
      </c>
      <c r="C624" s="2" t="s">
        <v>1179</v>
      </c>
      <c r="D624" s="2" t="s">
        <v>19</v>
      </c>
      <c r="E624" s="2">
        <v>-1.9021129999999999</v>
      </c>
      <c r="F624" s="3">
        <v>26.4</v>
      </c>
      <c r="G624" s="3">
        <v>27.6</v>
      </c>
      <c r="H624" s="3">
        <v>0</v>
      </c>
      <c r="I624" s="3">
        <v>0</v>
      </c>
      <c r="J624" s="3">
        <v>1.2</v>
      </c>
      <c r="K624" s="3">
        <v>4.5999999999999996</v>
      </c>
      <c r="L624" s="3">
        <v>11.4</v>
      </c>
      <c r="M624" s="3">
        <v>2.2999999999999998</v>
      </c>
      <c r="N624" s="4">
        <v>46940</v>
      </c>
      <c r="O624" s="4" t="str" cm="1">
        <f t="array" ref="O624">_xlfn.IFS(N624&lt;45000,"Under 45K",N624&lt;75000,"45K - 75K",N624&lt;100000,"75K - 100K",N624&gt;=100000,"Over 100K")</f>
        <v>45K - 75K</v>
      </c>
      <c r="P624" s="2" t="s">
        <v>165</v>
      </c>
    </row>
    <row r="625" spans="1:16">
      <c r="A625" s="2" t="s">
        <v>1292</v>
      </c>
      <c r="B625" s="2" t="s">
        <v>1293</v>
      </c>
      <c r="C625" s="2" t="s">
        <v>1179</v>
      </c>
      <c r="D625" s="2" t="s">
        <v>19</v>
      </c>
      <c r="E625" s="2">
        <v>-1.9422900000000001</v>
      </c>
      <c r="F625" s="3">
        <v>16.100000000000001</v>
      </c>
      <c r="G625" s="3">
        <v>14.4</v>
      </c>
      <c r="H625" s="3">
        <v>0</v>
      </c>
      <c r="I625" s="3">
        <v>0</v>
      </c>
      <c r="J625" s="3">
        <v>-1.7</v>
      </c>
      <c r="K625" s="3">
        <v>-10.5</v>
      </c>
      <c r="L625" s="3">
        <v>1.8</v>
      </c>
      <c r="M625" s="3">
        <v>1.4</v>
      </c>
      <c r="N625" s="4">
        <v>46480</v>
      </c>
      <c r="O625" s="4" t="str" cm="1">
        <f t="array" ref="O625">_xlfn.IFS(N625&lt;45000,"Under 45K",N625&lt;75000,"45K - 75K",N625&lt;100000,"75K - 100K",N625&gt;=100000,"Over 100K")</f>
        <v>45K - 75K</v>
      </c>
      <c r="P625" s="2" t="s">
        <v>165</v>
      </c>
    </row>
    <row r="626" spans="1:16">
      <c r="A626" s="2" t="s">
        <v>1294</v>
      </c>
      <c r="B626" s="2" t="s">
        <v>1295</v>
      </c>
      <c r="C626" s="2" t="s">
        <v>1179</v>
      </c>
      <c r="D626" s="2" t="s">
        <v>19</v>
      </c>
      <c r="E626" s="2">
        <v>-1.9709970000000001</v>
      </c>
      <c r="F626" s="3">
        <v>19.399999999999999</v>
      </c>
      <c r="G626" s="3">
        <v>20.3</v>
      </c>
      <c r="H626" s="3">
        <v>0</v>
      </c>
      <c r="I626" s="3">
        <v>0</v>
      </c>
      <c r="J626" s="3">
        <v>0.9</v>
      </c>
      <c r="K626" s="3">
        <v>4.5999999999999996</v>
      </c>
      <c r="L626" s="3">
        <v>27.7</v>
      </c>
      <c r="M626" s="3">
        <v>1.5</v>
      </c>
      <c r="N626" s="4">
        <v>59280</v>
      </c>
      <c r="O626" s="4" t="str" cm="1">
        <f t="array" ref="O626">_xlfn.IFS(N626&lt;45000,"Under 45K",N626&lt;75000,"45K - 75K",N626&lt;100000,"75K - 100K",N626&gt;=100000,"Over 100K")</f>
        <v>45K - 75K</v>
      </c>
      <c r="P626" s="2" t="s">
        <v>47</v>
      </c>
    </row>
    <row r="627" spans="1:16">
      <c r="A627" s="2" t="s">
        <v>1296</v>
      </c>
      <c r="B627" s="2" t="s">
        <v>1297</v>
      </c>
      <c r="C627" s="2" t="s">
        <v>1179</v>
      </c>
      <c r="D627" s="2" t="s">
        <v>19</v>
      </c>
      <c r="E627" s="2">
        <v>-2.0448400000000002</v>
      </c>
      <c r="F627" s="3">
        <v>7.4</v>
      </c>
      <c r="G627" s="3">
        <v>7.6</v>
      </c>
      <c r="H627" s="3">
        <v>0</v>
      </c>
      <c r="I627" s="3">
        <v>0</v>
      </c>
      <c r="J627" s="3">
        <v>0.2</v>
      </c>
      <c r="K627" s="3">
        <v>2.2999999999999998</v>
      </c>
      <c r="L627" s="3">
        <v>1.8</v>
      </c>
      <c r="M627" s="3">
        <v>0.8</v>
      </c>
      <c r="N627" s="4">
        <v>38140</v>
      </c>
      <c r="O627" s="4" t="str" cm="1">
        <f t="array" ref="O627">_xlfn.IFS(N627&lt;45000,"Under 45K",N627&lt;75000,"45K - 75K",N627&lt;100000,"75K - 100K",N627&gt;=100000,"Over 100K")</f>
        <v>Under 45K</v>
      </c>
      <c r="P627" s="2" t="s">
        <v>165</v>
      </c>
    </row>
    <row r="628" spans="1:16">
      <c r="A628" s="2" t="s">
        <v>1298</v>
      </c>
      <c r="B628" s="2" t="s">
        <v>1299</v>
      </c>
      <c r="C628" s="2" t="s">
        <v>1300</v>
      </c>
      <c r="D628" s="2" t="s">
        <v>19</v>
      </c>
      <c r="E628" s="2">
        <v>5.4642200000000002E-2</v>
      </c>
      <c r="F628" s="3">
        <v>2.2999999999999998</v>
      </c>
      <c r="G628" s="3">
        <v>1.9</v>
      </c>
      <c r="H628" s="3">
        <v>0</v>
      </c>
      <c r="I628" s="3">
        <v>0</v>
      </c>
      <c r="J628" s="3">
        <v>-0.3</v>
      </c>
      <c r="K628" s="3">
        <v>-15.1</v>
      </c>
      <c r="L628" s="3">
        <v>8.6999999999999993</v>
      </c>
      <c r="M628" s="3">
        <v>0.2</v>
      </c>
      <c r="N628" s="4">
        <v>49300</v>
      </c>
      <c r="O628" s="4" t="str" cm="1">
        <f t="array" ref="O628">_xlfn.IFS(N628&lt;45000,"Under 45K",N628&lt;75000,"45K - 75K",N628&lt;100000,"75K - 100K",N628&gt;=100000,"Over 100K")</f>
        <v>45K - 75K</v>
      </c>
      <c r="P628" s="2" t="s">
        <v>47</v>
      </c>
    </row>
    <row r="629" spans="1:16">
      <c r="A629" s="2" t="s">
        <v>1301</v>
      </c>
      <c r="B629" s="2" t="s">
        <v>1302</v>
      </c>
      <c r="C629" s="2" t="s">
        <v>1300</v>
      </c>
      <c r="D629" s="2" t="s">
        <v>19</v>
      </c>
      <c r="E629" s="15">
        <v>0</v>
      </c>
      <c r="F629" s="3">
        <v>10.8</v>
      </c>
      <c r="G629" s="3">
        <v>11</v>
      </c>
      <c r="H629" s="3">
        <v>0</v>
      </c>
      <c r="I629" s="3">
        <v>0</v>
      </c>
      <c r="J629" s="3">
        <v>0.2</v>
      </c>
      <c r="K629" s="3">
        <v>2</v>
      </c>
      <c r="L629" s="3">
        <v>7.7</v>
      </c>
      <c r="M629" s="3">
        <v>1</v>
      </c>
      <c r="N629" s="4">
        <v>67080</v>
      </c>
      <c r="O629" s="4" t="str" cm="1">
        <f t="array" ref="O629">_xlfn.IFS(N629&lt;45000,"Under 45K",N629&lt;75000,"45K - 75K",N629&lt;100000,"75K - 100K",N629&gt;=100000,"Over 100K")</f>
        <v>45K - 75K</v>
      </c>
      <c r="P629" s="2" t="s">
        <v>47</v>
      </c>
    </row>
    <row r="630" spans="1:16">
      <c r="A630" s="2" t="s">
        <v>1303</v>
      </c>
      <c r="B630" s="2" t="s">
        <v>1304</v>
      </c>
      <c r="C630" s="2" t="s">
        <v>1300</v>
      </c>
      <c r="D630" s="2" t="s">
        <v>19</v>
      </c>
      <c r="E630" s="2">
        <v>-2.0516900000000001E-2</v>
      </c>
      <c r="F630" s="3">
        <v>617.5</v>
      </c>
      <c r="G630" s="3">
        <v>636.5</v>
      </c>
      <c r="H630" s="3">
        <v>0.4</v>
      </c>
      <c r="I630" s="3">
        <v>0.4</v>
      </c>
      <c r="J630" s="3">
        <v>19.100000000000001</v>
      </c>
      <c r="K630" s="3">
        <v>3.1</v>
      </c>
      <c r="L630" s="3">
        <v>0.3</v>
      </c>
      <c r="M630" s="3">
        <v>52.4</v>
      </c>
      <c r="N630" s="4">
        <v>78300</v>
      </c>
      <c r="O630" s="4" t="str" cm="1">
        <f t="array" ref="O630">_xlfn.IFS(N630&lt;45000,"Under 45K",N630&lt;75000,"45K - 75K",N630&lt;100000,"75K - 100K",N630&gt;=100000,"Over 100K")</f>
        <v>75K - 100K</v>
      </c>
      <c r="P630" s="2" t="s">
        <v>47</v>
      </c>
    </row>
    <row r="631" spans="1:16">
      <c r="A631" s="2" t="s">
        <v>1305</v>
      </c>
      <c r="B631" s="2" t="s">
        <v>1306</v>
      </c>
      <c r="C631" s="2" t="s">
        <v>1300</v>
      </c>
      <c r="D631" s="2" t="s">
        <v>19</v>
      </c>
      <c r="E631" s="2">
        <v>-0.17285349999999999</v>
      </c>
      <c r="F631" s="3">
        <v>21.4</v>
      </c>
      <c r="G631" s="3">
        <v>23.1</v>
      </c>
      <c r="H631" s="3">
        <v>0</v>
      </c>
      <c r="I631" s="3">
        <v>0</v>
      </c>
      <c r="J631" s="3">
        <v>1.7</v>
      </c>
      <c r="K631" s="3">
        <v>8.1999999999999993</v>
      </c>
      <c r="L631" s="3" t="s">
        <v>30</v>
      </c>
      <c r="M631" s="3">
        <v>1.8</v>
      </c>
      <c r="N631" s="4">
        <v>81390</v>
      </c>
      <c r="O631" s="4" t="str" cm="1">
        <f t="array" ref="O631">_xlfn.IFS(N631&lt;45000,"Under 45K",N631&lt;75000,"45K - 75K",N631&lt;100000,"75K - 100K",N631&gt;=100000,"Over 100K")</f>
        <v>75K - 100K</v>
      </c>
      <c r="P631" s="2" t="s">
        <v>152</v>
      </c>
    </row>
    <row r="632" spans="1:16">
      <c r="A632" s="2" t="s">
        <v>1307</v>
      </c>
      <c r="B632" s="2" t="s">
        <v>1308</v>
      </c>
      <c r="C632" s="2" t="s">
        <v>1300</v>
      </c>
      <c r="D632" s="2" t="s">
        <v>19</v>
      </c>
      <c r="E632" s="2">
        <v>-0.21239959999999999</v>
      </c>
      <c r="F632" s="3">
        <v>1.4</v>
      </c>
      <c r="G632" s="3">
        <v>1.4</v>
      </c>
      <c r="H632" s="3">
        <v>0</v>
      </c>
      <c r="I632" s="3">
        <v>0</v>
      </c>
      <c r="J632" s="3">
        <v>0</v>
      </c>
      <c r="K632" s="3">
        <v>-1.1000000000000001</v>
      </c>
      <c r="L632" s="3">
        <v>9.8000000000000007</v>
      </c>
      <c r="M632" s="3">
        <v>0.1</v>
      </c>
      <c r="N632" s="4">
        <v>60690</v>
      </c>
      <c r="O632" s="4" t="str" cm="1">
        <f t="array" ref="O632">_xlfn.IFS(N632&lt;45000,"Under 45K",N632&lt;75000,"45K - 75K",N632&lt;100000,"75K - 100K",N632&gt;=100000,"Over 100K")</f>
        <v>45K - 75K</v>
      </c>
      <c r="P632" s="2" t="s">
        <v>47</v>
      </c>
    </row>
    <row r="633" spans="1:16">
      <c r="A633" s="2" t="s">
        <v>1309</v>
      </c>
      <c r="B633" s="2" t="s">
        <v>1310</v>
      </c>
      <c r="C633" s="2" t="s">
        <v>1300</v>
      </c>
      <c r="D633" s="2" t="s">
        <v>19</v>
      </c>
      <c r="E633" s="2">
        <v>-0.27688380000000001</v>
      </c>
      <c r="F633" s="3">
        <v>68</v>
      </c>
      <c r="G633" s="3">
        <v>76.8</v>
      </c>
      <c r="H633" s="3">
        <v>0</v>
      </c>
      <c r="I633" s="3">
        <v>0</v>
      </c>
      <c r="J633" s="3">
        <v>8.8000000000000007</v>
      </c>
      <c r="K633" s="3">
        <v>12.9</v>
      </c>
      <c r="L633" s="3">
        <v>9.4</v>
      </c>
      <c r="M633" s="3">
        <v>7.3</v>
      </c>
      <c r="N633" s="4">
        <v>62630</v>
      </c>
      <c r="O633" s="4" t="str" cm="1">
        <f t="array" ref="O633">_xlfn.IFS(N633&lt;45000,"Under 45K",N633&lt;75000,"45K - 75K",N633&lt;100000,"75K - 100K",N633&gt;=100000,"Over 100K")</f>
        <v>45K - 75K</v>
      </c>
      <c r="P633" s="2" t="s">
        <v>92</v>
      </c>
    </row>
    <row r="634" spans="1:16">
      <c r="A634" s="2" t="s">
        <v>1311</v>
      </c>
      <c r="B634" s="2" t="s">
        <v>1312</v>
      </c>
      <c r="C634" s="2" t="s">
        <v>1300</v>
      </c>
      <c r="D634" s="2" t="s">
        <v>19</v>
      </c>
      <c r="E634" s="2">
        <v>-0.34582469999999998</v>
      </c>
      <c r="F634" s="3">
        <v>79.099999999999994</v>
      </c>
      <c r="G634" s="3">
        <v>78.400000000000006</v>
      </c>
      <c r="H634" s="3">
        <v>0</v>
      </c>
      <c r="I634" s="3">
        <v>0</v>
      </c>
      <c r="J634" s="3">
        <v>-0.7</v>
      </c>
      <c r="K634" s="3">
        <v>-0.9</v>
      </c>
      <c r="L634" s="3">
        <v>6.2</v>
      </c>
      <c r="M634" s="3">
        <v>7.6</v>
      </c>
      <c r="N634" s="4">
        <v>46860</v>
      </c>
      <c r="O634" s="4" t="str" cm="1">
        <f t="array" ref="O634">_xlfn.IFS(N634&lt;45000,"Under 45K",N634&lt;75000,"45K - 75K",N634&lt;100000,"75K - 100K",N634&gt;=100000,"Over 100K")</f>
        <v>45K - 75K</v>
      </c>
      <c r="P634" s="2" t="s">
        <v>185</v>
      </c>
    </row>
    <row r="635" spans="1:16">
      <c r="A635" s="2" t="s">
        <v>1313</v>
      </c>
      <c r="B635" s="2" t="s">
        <v>1314</v>
      </c>
      <c r="C635" s="2" t="s">
        <v>1300</v>
      </c>
      <c r="D635" s="2" t="s">
        <v>19</v>
      </c>
      <c r="E635" s="2">
        <v>-0.46320309999999998</v>
      </c>
      <c r="F635" s="3">
        <v>61.1</v>
      </c>
      <c r="G635" s="3">
        <v>60.7</v>
      </c>
      <c r="H635" s="3">
        <v>0</v>
      </c>
      <c r="I635" s="3">
        <v>0</v>
      </c>
      <c r="J635" s="3">
        <v>-0.5</v>
      </c>
      <c r="K635" s="3">
        <v>-0.8</v>
      </c>
      <c r="L635" s="3" t="s">
        <v>30</v>
      </c>
      <c r="M635" s="3">
        <v>4.7</v>
      </c>
      <c r="N635" s="4">
        <v>71300</v>
      </c>
      <c r="O635" s="4" t="str" cm="1">
        <f t="array" ref="O635">_xlfn.IFS(N635&lt;45000,"Under 45K",N635&lt;75000,"45K - 75K",N635&lt;100000,"75K - 100K",N635&gt;=100000,"Over 100K")</f>
        <v>45K - 75K</v>
      </c>
      <c r="P635" s="2" t="s">
        <v>152</v>
      </c>
    </row>
    <row r="636" spans="1:16">
      <c r="A636" s="2" t="s">
        <v>1315</v>
      </c>
      <c r="B636" s="2" t="s">
        <v>1316</v>
      </c>
      <c r="C636" s="2" t="s">
        <v>1300</v>
      </c>
      <c r="D636" s="2" t="s">
        <v>19</v>
      </c>
      <c r="E636" s="2">
        <v>-0.53062710000000002</v>
      </c>
      <c r="F636" s="3">
        <v>6.2</v>
      </c>
      <c r="G636" s="3">
        <v>6.3</v>
      </c>
      <c r="H636" s="3">
        <v>0</v>
      </c>
      <c r="I636" s="3">
        <v>0</v>
      </c>
      <c r="J636" s="3">
        <v>0.1</v>
      </c>
      <c r="K636" s="3">
        <v>1.4</v>
      </c>
      <c r="L636" s="3">
        <v>9.8000000000000007</v>
      </c>
      <c r="M636" s="3">
        <v>0.6</v>
      </c>
      <c r="N636" s="4">
        <v>45320</v>
      </c>
      <c r="O636" s="4" t="str" cm="1">
        <f t="array" ref="O636">_xlfn.IFS(N636&lt;45000,"Under 45K",N636&lt;75000,"45K - 75K",N636&lt;100000,"75K - 100K",N636&gt;=100000,"Over 100K")</f>
        <v>45K - 75K</v>
      </c>
      <c r="P636" s="2" t="s">
        <v>47</v>
      </c>
    </row>
    <row r="637" spans="1:16">
      <c r="A637" s="2" t="s">
        <v>1317</v>
      </c>
      <c r="B637" s="2" t="s">
        <v>1318</v>
      </c>
      <c r="C637" s="2" t="s">
        <v>1300</v>
      </c>
      <c r="D637" s="2" t="s">
        <v>19</v>
      </c>
      <c r="E637" s="2">
        <v>-0.55226359999999997</v>
      </c>
      <c r="F637" s="3">
        <v>23.4</v>
      </c>
      <c r="G637" s="3">
        <v>24.7</v>
      </c>
      <c r="H637" s="3">
        <v>0</v>
      </c>
      <c r="I637" s="3">
        <v>0</v>
      </c>
      <c r="J637" s="3">
        <v>1.3</v>
      </c>
      <c r="K637" s="3">
        <v>5.5</v>
      </c>
      <c r="L637" s="3" t="s">
        <v>30</v>
      </c>
      <c r="M637" s="3">
        <v>2</v>
      </c>
      <c r="N637" s="4">
        <v>100940</v>
      </c>
      <c r="O637" s="4" t="str" cm="1">
        <f t="array" ref="O637">_xlfn.IFS(N637&lt;45000,"Under 45K",N637&lt;75000,"45K - 75K",N637&lt;100000,"75K - 100K",N637&gt;=100000,"Over 100K")</f>
        <v>Over 100K</v>
      </c>
      <c r="P637" s="2" t="s">
        <v>152</v>
      </c>
    </row>
    <row r="638" spans="1:16">
      <c r="A638" s="2" t="s">
        <v>1319</v>
      </c>
      <c r="B638" s="2" t="s">
        <v>1320</v>
      </c>
      <c r="C638" s="2" t="s">
        <v>1300</v>
      </c>
      <c r="D638" s="2" t="s">
        <v>19</v>
      </c>
      <c r="E638" s="2">
        <v>-0.57128400000000001</v>
      </c>
      <c r="F638" s="3">
        <v>24.6</v>
      </c>
      <c r="G638" s="3">
        <v>26.3</v>
      </c>
      <c r="H638" s="3">
        <v>0</v>
      </c>
      <c r="I638" s="3">
        <v>0</v>
      </c>
      <c r="J638" s="3">
        <v>1.6</v>
      </c>
      <c r="K638" s="3">
        <v>6.6</v>
      </c>
      <c r="L638" s="3">
        <v>8.4</v>
      </c>
      <c r="M638" s="3">
        <v>2.6</v>
      </c>
      <c r="N638" s="4">
        <v>50620</v>
      </c>
      <c r="O638" s="4" t="str" cm="1">
        <f t="array" ref="O638">_xlfn.IFS(N638&lt;45000,"Under 45K",N638&lt;75000,"45K - 75K",N638&lt;100000,"75K - 100K",N638&gt;=100000,"Over 100K")</f>
        <v>45K - 75K</v>
      </c>
      <c r="P638" s="2" t="s">
        <v>152</v>
      </c>
    </row>
    <row r="639" spans="1:16">
      <c r="A639" s="2" t="s">
        <v>1321</v>
      </c>
      <c r="B639" s="2" t="s">
        <v>1322</v>
      </c>
      <c r="C639" s="2" t="s">
        <v>1300</v>
      </c>
      <c r="D639" s="2" t="s">
        <v>19</v>
      </c>
      <c r="E639" s="2">
        <v>-0.59007909999999997</v>
      </c>
      <c r="F639" s="3">
        <v>221.2</v>
      </c>
      <c r="G639" s="3">
        <v>226.5</v>
      </c>
      <c r="H639" s="3">
        <v>0.1</v>
      </c>
      <c r="I639" s="3">
        <v>0.1</v>
      </c>
      <c r="J639" s="3">
        <v>5.4</v>
      </c>
      <c r="K639" s="3">
        <v>2.4</v>
      </c>
      <c r="L639" s="3">
        <v>15.4</v>
      </c>
      <c r="M639" s="3">
        <v>21.5</v>
      </c>
      <c r="N639" s="4">
        <v>48640</v>
      </c>
      <c r="O639" s="4" t="str" cm="1">
        <f t="array" ref="O639">_xlfn.IFS(N639&lt;45000,"Under 45K",N639&lt;75000,"45K - 75K",N639&lt;100000,"75K - 100K",N639&gt;=100000,"Over 100K")</f>
        <v>45K - 75K</v>
      </c>
      <c r="P639" s="2" t="s">
        <v>47</v>
      </c>
    </row>
    <row r="640" spans="1:16">
      <c r="A640" s="2" t="s">
        <v>1323</v>
      </c>
      <c r="B640" s="2" t="s">
        <v>1324</v>
      </c>
      <c r="C640" s="2" t="s">
        <v>1300</v>
      </c>
      <c r="D640" s="2" t="s">
        <v>19</v>
      </c>
      <c r="E640" s="2">
        <v>-0.63353820000000005</v>
      </c>
      <c r="F640" s="3">
        <v>11.7</v>
      </c>
      <c r="G640" s="3">
        <v>12.7</v>
      </c>
      <c r="H640" s="3">
        <v>0</v>
      </c>
      <c r="I640" s="3">
        <v>0</v>
      </c>
      <c r="J640" s="3">
        <v>1</v>
      </c>
      <c r="K640" s="3">
        <v>8.6</v>
      </c>
      <c r="L640" s="3">
        <v>1.7</v>
      </c>
      <c r="M640" s="3">
        <v>1.2</v>
      </c>
      <c r="N640" s="4">
        <v>64190</v>
      </c>
      <c r="O640" s="4" t="str" cm="1">
        <f t="array" ref="O640">_xlfn.IFS(N640&lt;45000,"Under 45K",N640&lt;75000,"45K - 75K",N640&lt;100000,"75K - 100K",N640&gt;=100000,"Over 100K")</f>
        <v>45K - 75K</v>
      </c>
      <c r="P640" s="2" t="s">
        <v>92</v>
      </c>
    </row>
    <row r="641" spans="1:16">
      <c r="A641" s="2" t="s">
        <v>1325</v>
      </c>
      <c r="B641" s="2" t="s">
        <v>1326</v>
      </c>
      <c r="C641" s="2" t="s">
        <v>1300</v>
      </c>
      <c r="D641" s="2" t="s">
        <v>19</v>
      </c>
      <c r="E641" s="2">
        <v>-0.65511969999999997</v>
      </c>
      <c r="F641" s="3">
        <v>139.4</v>
      </c>
      <c r="G641" s="3">
        <v>145</v>
      </c>
      <c r="H641" s="3">
        <v>0.1</v>
      </c>
      <c r="I641" s="3">
        <v>0.1</v>
      </c>
      <c r="J641" s="3">
        <v>5.6</v>
      </c>
      <c r="K641" s="3">
        <v>4</v>
      </c>
      <c r="L641" s="3" t="s">
        <v>30</v>
      </c>
      <c r="M641" s="3">
        <v>11.3</v>
      </c>
      <c r="N641" s="4">
        <v>78680</v>
      </c>
      <c r="O641" s="4" t="str" cm="1">
        <f t="array" ref="O641">_xlfn.IFS(N641&lt;45000,"Under 45K",N641&lt;75000,"45K - 75K",N641&lt;100000,"75K - 100K",N641&gt;=100000,"Over 100K")</f>
        <v>75K - 100K</v>
      </c>
      <c r="P641" s="2" t="s">
        <v>152</v>
      </c>
    </row>
    <row r="642" spans="1:16">
      <c r="A642" s="2" t="s">
        <v>1327</v>
      </c>
      <c r="B642" s="2" t="s">
        <v>1328</v>
      </c>
      <c r="C642" s="2" t="s">
        <v>1300</v>
      </c>
      <c r="D642" s="2" t="s">
        <v>19</v>
      </c>
      <c r="E642" s="2">
        <v>-0.69264840000000005</v>
      </c>
      <c r="F642" s="3">
        <v>85.9</v>
      </c>
      <c r="G642" s="3">
        <v>94.9</v>
      </c>
      <c r="H642" s="3">
        <v>0.1</v>
      </c>
      <c r="I642" s="3">
        <v>0.1</v>
      </c>
      <c r="J642" s="3">
        <v>8.9</v>
      </c>
      <c r="K642" s="3">
        <v>10.4</v>
      </c>
      <c r="L642" s="3">
        <v>5.5</v>
      </c>
      <c r="M642" s="3">
        <v>9.4</v>
      </c>
      <c r="N642" s="4">
        <v>59300</v>
      </c>
      <c r="O642" s="4" t="str" cm="1">
        <f t="array" ref="O642">_xlfn.IFS(N642&lt;45000,"Under 45K",N642&lt;75000,"45K - 75K",N642&lt;100000,"75K - 100K",N642&gt;=100000,"Over 100K")</f>
        <v>45K - 75K</v>
      </c>
      <c r="P642" s="2" t="s">
        <v>47</v>
      </c>
    </row>
    <row r="643" spans="1:16">
      <c r="A643" s="2" t="s">
        <v>1329</v>
      </c>
      <c r="B643" s="2" t="s">
        <v>1330</v>
      </c>
      <c r="C643" s="2" t="s">
        <v>1300</v>
      </c>
      <c r="D643" s="2" t="s">
        <v>19</v>
      </c>
      <c r="E643" s="2">
        <v>-0.72339949999999997</v>
      </c>
      <c r="F643" s="3">
        <v>32.5</v>
      </c>
      <c r="G643" s="3">
        <v>31.6</v>
      </c>
      <c r="H643" s="3">
        <v>0</v>
      </c>
      <c r="I643" s="3">
        <v>0</v>
      </c>
      <c r="J643" s="3">
        <v>-0.9</v>
      </c>
      <c r="K643" s="3">
        <v>-2.9</v>
      </c>
      <c r="L643" s="3">
        <v>11.5</v>
      </c>
      <c r="M643" s="3">
        <v>3.5</v>
      </c>
      <c r="N643" s="4">
        <v>47350</v>
      </c>
      <c r="O643" s="4" t="str" cm="1">
        <f t="array" ref="O643">_xlfn.IFS(N643&lt;45000,"Under 45K",N643&lt;75000,"45K - 75K",N643&lt;100000,"75K - 100K",N643&gt;=100000,"Over 100K")</f>
        <v>45K - 75K</v>
      </c>
      <c r="P643" s="2" t="s">
        <v>47</v>
      </c>
    </row>
    <row r="644" spans="1:16">
      <c r="A644" s="2" t="s">
        <v>1331</v>
      </c>
      <c r="B644" s="2" t="s">
        <v>1332</v>
      </c>
      <c r="C644" s="2" t="s">
        <v>1300</v>
      </c>
      <c r="D644" s="2" t="s">
        <v>19</v>
      </c>
      <c r="E644" s="2">
        <v>-0.76069129999999996</v>
      </c>
      <c r="F644" s="3">
        <v>47.7</v>
      </c>
      <c r="G644" s="3">
        <v>48.3</v>
      </c>
      <c r="H644" s="3">
        <v>0</v>
      </c>
      <c r="I644" s="3">
        <v>0</v>
      </c>
      <c r="J644" s="3">
        <v>0.6</v>
      </c>
      <c r="K644" s="3">
        <v>1.3</v>
      </c>
      <c r="L644" s="3" t="s">
        <v>30</v>
      </c>
      <c r="M644" s="3">
        <v>3.9</v>
      </c>
      <c r="N644" s="4">
        <v>74690</v>
      </c>
      <c r="O644" s="4" t="str" cm="1">
        <f t="array" ref="O644">_xlfn.IFS(N644&lt;45000,"Under 45K",N644&lt;75000,"45K - 75K",N644&lt;100000,"75K - 100K",N644&gt;=100000,"Over 100K")</f>
        <v>45K - 75K</v>
      </c>
      <c r="P644" s="2" t="s">
        <v>47</v>
      </c>
    </row>
    <row r="645" spans="1:16">
      <c r="A645" s="2" t="s">
        <v>1333</v>
      </c>
      <c r="B645" s="2" t="s">
        <v>1334</v>
      </c>
      <c r="C645" s="2" t="s">
        <v>1300</v>
      </c>
      <c r="D645" s="2" t="s">
        <v>19</v>
      </c>
      <c r="E645" s="2">
        <v>-0.76372099999999998</v>
      </c>
      <c r="F645" s="3">
        <v>14.9</v>
      </c>
      <c r="G645" s="3">
        <v>15.7</v>
      </c>
      <c r="H645" s="3">
        <v>0</v>
      </c>
      <c r="I645" s="3">
        <v>0</v>
      </c>
      <c r="J645" s="3">
        <v>0.8</v>
      </c>
      <c r="K645" s="3">
        <v>5.3</v>
      </c>
      <c r="L645" s="3">
        <v>8</v>
      </c>
      <c r="M645" s="3">
        <v>1.5</v>
      </c>
      <c r="N645" s="4">
        <v>47200</v>
      </c>
      <c r="O645" s="4" t="str" cm="1">
        <f t="array" ref="O645">_xlfn.IFS(N645&lt;45000,"Under 45K",N645&lt;75000,"45K - 75K",N645&lt;100000,"75K - 100K",N645&gt;=100000,"Over 100K")</f>
        <v>45K - 75K</v>
      </c>
      <c r="P645" s="2" t="s">
        <v>152</v>
      </c>
    </row>
    <row r="646" spans="1:16">
      <c r="A646" s="2" t="s">
        <v>1335</v>
      </c>
      <c r="B646" s="2" t="s">
        <v>1336</v>
      </c>
      <c r="C646" s="2" t="s">
        <v>1300</v>
      </c>
      <c r="D646" s="2" t="s">
        <v>19</v>
      </c>
      <c r="E646" s="2">
        <v>-0.79159679999999999</v>
      </c>
      <c r="F646" s="3">
        <v>10.3</v>
      </c>
      <c r="G646" s="3">
        <v>8.9</v>
      </c>
      <c r="H646" s="3">
        <v>0</v>
      </c>
      <c r="I646" s="3">
        <v>0</v>
      </c>
      <c r="J646" s="3">
        <v>-1.4</v>
      </c>
      <c r="K646" s="3">
        <v>-13.6</v>
      </c>
      <c r="L646" s="3" t="s">
        <v>30</v>
      </c>
      <c r="M646" s="3">
        <v>0.6</v>
      </c>
      <c r="N646" s="4">
        <v>47940</v>
      </c>
      <c r="O646" s="4" t="str" cm="1">
        <f t="array" ref="O646">_xlfn.IFS(N646&lt;45000,"Under 45K",N646&lt;75000,"45K - 75K",N646&lt;100000,"75K - 100K",N646&gt;=100000,"Over 100K")</f>
        <v>45K - 75K</v>
      </c>
      <c r="P646" s="2" t="s">
        <v>47</v>
      </c>
    </row>
    <row r="647" spans="1:16">
      <c r="A647" s="2" t="s">
        <v>1337</v>
      </c>
      <c r="B647" s="2" t="s">
        <v>1338</v>
      </c>
      <c r="C647" s="2" t="s">
        <v>1300</v>
      </c>
      <c r="D647" s="2" t="s">
        <v>19</v>
      </c>
      <c r="E647" s="2">
        <v>-0.81063410000000002</v>
      </c>
      <c r="F647" s="3">
        <v>17.100000000000001</v>
      </c>
      <c r="G647" s="3">
        <v>17.7</v>
      </c>
      <c r="H647" s="3">
        <v>0</v>
      </c>
      <c r="I647" s="3">
        <v>0</v>
      </c>
      <c r="J647" s="3">
        <v>0.6</v>
      </c>
      <c r="K647" s="3">
        <v>3.4</v>
      </c>
      <c r="L647" s="3">
        <v>1.8</v>
      </c>
      <c r="M647" s="3">
        <v>1.7</v>
      </c>
      <c r="N647" s="4">
        <v>53990</v>
      </c>
      <c r="O647" s="4" t="str" cm="1">
        <f t="array" ref="O647">_xlfn.IFS(N647&lt;45000,"Under 45K",N647&lt;75000,"45K - 75K",N647&lt;100000,"75K - 100K",N647&gt;=100000,"Over 100K")</f>
        <v>45K - 75K</v>
      </c>
      <c r="P647" s="2" t="s">
        <v>47</v>
      </c>
    </row>
    <row r="648" spans="1:16">
      <c r="A648" s="2" t="s">
        <v>1339</v>
      </c>
      <c r="B648" s="2" t="s">
        <v>1340</v>
      </c>
      <c r="C648" s="2" t="s">
        <v>1300</v>
      </c>
      <c r="D648" s="2" t="s">
        <v>19</v>
      </c>
      <c r="E648" s="2">
        <v>-0.83038749999999995</v>
      </c>
      <c r="F648" s="3">
        <v>7</v>
      </c>
      <c r="G648" s="3">
        <v>7.4</v>
      </c>
      <c r="H648" s="3">
        <v>0</v>
      </c>
      <c r="I648" s="3">
        <v>0</v>
      </c>
      <c r="J648" s="3">
        <v>0.4</v>
      </c>
      <c r="K648" s="3">
        <v>6.1</v>
      </c>
      <c r="L648" s="3" t="s">
        <v>30</v>
      </c>
      <c r="M648" s="3">
        <v>0.6</v>
      </c>
      <c r="N648" s="4">
        <v>82730</v>
      </c>
      <c r="O648" s="4" t="str" cm="1">
        <f t="array" ref="O648">_xlfn.IFS(N648&lt;45000,"Under 45K",N648&lt;75000,"45K - 75K",N648&lt;100000,"75K - 100K",N648&gt;=100000,"Over 100K")</f>
        <v>75K - 100K</v>
      </c>
      <c r="P648" s="2" t="s">
        <v>152</v>
      </c>
    </row>
    <row r="649" spans="1:16">
      <c r="A649" s="2" t="s">
        <v>1341</v>
      </c>
      <c r="B649" s="2" t="s">
        <v>1342</v>
      </c>
      <c r="C649" s="2" t="s">
        <v>1300</v>
      </c>
      <c r="D649" s="2" t="s">
        <v>19</v>
      </c>
      <c r="E649" s="2">
        <v>-0.84911170000000002</v>
      </c>
      <c r="F649" s="3">
        <v>425.2</v>
      </c>
      <c r="G649" s="3">
        <v>459.7</v>
      </c>
      <c r="H649" s="3">
        <v>0.3</v>
      </c>
      <c r="I649" s="3">
        <v>0.3</v>
      </c>
      <c r="J649" s="3">
        <v>34.5</v>
      </c>
      <c r="K649" s="3">
        <v>8.1</v>
      </c>
      <c r="L649" s="3">
        <v>4.8</v>
      </c>
      <c r="M649" s="3">
        <v>40.1</v>
      </c>
      <c r="N649" s="4">
        <v>59810</v>
      </c>
      <c r="O649" s="4" t="str" cm="1">
        <f t="array" ref="O649">_xlfn.IFS(N649&lt;45000,"Under 45K",N649&lt;75000,"45K - 75K",N649&lt;100000,"75K - 100K",N649&gt;=100000,"Over 100K")</f>
        <v>45K - 75K</v>
      </c>
      <c r="P649" s="2" t="s">
        <v>152</v>
      </c>
    </row>
    <row r="650" spans="1:16">
      <c r="A650" s="2" t="s">
        <v>1343</v>
      </c>
      <c r="B650" s="2" t="s">
        <v>1344</v>
      </c>
      <c r="C650" s="2" t="s">
        <v>1300</v>
      </c>
      <c r="D650" s="2" t="s">
        <v>19</v>
      </c>
      <c r="E650" s="2">
        <v>-0.85304800000000003</v>
      </c>
      <c r="F650" s="3">
        <v>156.9</v>
      </c>
      <c r="G650" s="3">
        <v>150.4</v>
      </c>
      <c r="H650" s="3">
        <v>0.1</v>
      </c>
      <c r="I650" s="3">
        <v>0.1</v>
      </c>
      <c r="J650" s="3">
        <v>-6.6</v>
      </c>
      <c r="K650" s="3">
        <v>-4.2</v>
      </c>
      <c r="L650" s="3">
        <v>1.9</v>
      </c>
      <c r="M650" s="3">
        <v>13.2</v>
      </c>
      <c r="N650" s="4">
        <v>62630</v>
      </c>
      <c r="O650" s="4" t="str" cm="1">
        <f t="array" ref="O650">_xlfn.IFS(N650&lt;45000,"Under 45K",N650&lt;75000,"45K - 75K",N650&lt;100000,"75K - 100K",N650&gt;=100000,"Over 100K")</f>
        <v>45K - 75K</v>
      </c>
      <c r="P650" s="2" t="s">
        <v>152</v>
      </c>
    </row>
    <row r="651" spans="1:16">
      <c r="A651" s="2" t="s">
        <v>1345</v>
      </c>
      <c r="B651" s="2" t="s">
        <v>1346</v>
      </c>
      <c r="C651" s="2" t="s">
        <v>1300</v>
      </c>
      <c r="D651" s="2" t="s">
        <v>19</v>
      </c>
      <c r="E651" s="2">
        <v>-0.85822100000000001</v>
      </c>
      <c r="F651" s="3">
        <v>8.6999999999999993</v>
      </c>
      <c r="G651" s="3">
        <v>8.8000000000000007</v>
      </c>
      <c r="H651" s="3">
        <v>0</v>
      </c>
      <c r="I651" s="3">
        <v>0</v>
      </c>
      <c r="J651" s="3">
        <v>0.1</v>
      </c>
      <c r="K651" s="3">
        <v>1.7</v>
      </c>
      <c r="L651" s="3">
        <v>15.3</v>
      </c>
      <c r="M651" s="3">
        <v>0.8</v>
      </c>
      <c r="N651" s="4">
        <v>83600</v>
      </c>
      <c r="O651" s="4" t="str" cm="1">
        <f t="array" ref="O651">_xlfn.IFS(N651&lt;45000,"Under 45K",N651&lt;75000,"45K - 75K",N651&lt;100000,"75K - 100K",N651&gt;=100000,"Over 100K")</f>
        <v>75K - 100K</v>
      </c>
      <c r="P651" s="2" t="s">
        <v>47</v>
      </c>
    </row>
    <row r="652" spans="1:16">
      <c r="A652" s="2" t="s">
        <v>1347</v>
      </c>
      <c r="B652" s="2" t="s">
        <v>1348</v>
      </c>
      <c r="C652" s="2" t="s">
        <v>1300</v>
      </c>
      <c r="D652" s="2" t="s">
        <v>19</v>
      </c>
      <c r="E652" s="2">
        <v>-0.86574980000000001</v>
      </c>
      <c r="F652" s="3">
        <v>18.8</v>
      </c>
      <c r="G652" s="3">
        <v>17.2</v>
      </c>
      <c r="H652" s="3">
        <v>0</v>
      </c>
      <c r="I652" s="3">
        <v>0</v>
      </c>
      <c r="J652" s="3">
        <v>-1.6</v>
      </c>
      <c r="K652" s="3">
        <v>-8.3000000000000007</v>
      </c>
      <c r="L652" s="3">
        <v>16.2</v>
      </c>
      <c r="M652" s="3">
        <v>1.7</v>
      </c>
      <c r="N652" s="4">
        <v>50490</v>
      </c>
      <c r="O652" s="4" t="str" cm="1">
        <f t="array" ref="O652">_xlfn.IFS(N652&lt;45000,"Under 45K",N652&lt;75000,"45K - 75K",N652&lt;100000,"75K - 100K",N652&gt;=100000,"Over 100K")</f>
        <v>45K - 75K</v>
      </c>
      <c r="P652" s="2" t="s">
        <v>47</v>
      </c>
    </row>
    <row r="653" spans="1:16">
      <c r="A653" s="2" t="s">
        <v>1349</v>
      </c>
      <c r="B653" s="2" t="s">
        <v>1350</v>
      </c>
      <c r="C653" s="2" t="s">
        <v>1300</v>
      </c>
      <c r="D653" s="2" t="s">
        <v>19</v>
      </c>
      <c r="E653" s="2">
        <v>-0.88636020000000004</v>
      </c>
      <c r="F653" s="3">
        <v>26.2</v>
      </c>
      <c r="G653" s="3">
        <v>27.8</v>
      </c>
      <c r="H653" s="3">
        <v>0</v>
      </c>
      <c r="I653" s="3">
        <v>0</v>
      </c>
      <c r="J653" s="3">
        <v>1.6</v>
      </c>
      <c r="K653" s="3">
        <v>6</v>
      </c>
      <c r="L653" s="3">
        <v>7.9</v>
      </c>
      <c r="M653" s="3">
        <v>2.6</v>
      </c>
      <c r="N653" s="4">
        <v>54950</v>
      </c>
      <c r="O653" s="4" t="str" cm="1">
        <f t="array" ref="O653">_xlfn.IFS(N653&lt;45000,"Under 45K",N653&lt;75000,"45K - 75K",N653&lt;100000,"75K - 100K",N653&gt;=100000,"Over 100K")</f>
        <v>45K - 75K</v>
      </c>
      <c r="P653" s="2" t="s">
        <v>47</v>
      </c>
    </row>
    <row r="654" spans="1:16">
      <c r="A654" s="2" t="s">
        <v>1351</v>
      </c>
      <c r="B654" s="2" t="s">
        <v>1352</v>
      </c>
      <c r="C654" s="2" t="s">
        <v>1300</v>
      </c>
      <c r="D654" s="2" t="s">
        <v>19</v>
      </c>
      <c r="E654" s="2">
        <v>-0.89414079999999996</v>
      </c>
      <c r="F654" s="3">
        <v>36.9</v>
      </c>
      <c r="G654" s="3">
        <v>37.799999999999997</v>
      </c>
      <c r="H654" s="3">
        <v>0</v>
      </c>
      <c r="I654" s="3">
        <v>0</v>
      </c>
      <c r="J654" s="3">
        <v>0.9</v>
      </c>
      <c r="K654" s="3">
        <v>2.5</v>
      </c>
      <c r="L654" s="3">
        <v>7.6</v>
      </c>
      <c r="M654" s="3">
        <v>3.5</v>
      </c>
      <c r="N654" s="4">
        <v>46560</v>
      </c>
      <c r="O654" s="4" t="str" cm="1">
        <f t="array" ref="O654">_xlfn.IFS(N654&lt;45000,"Under 45K",N654&lt;75000,"45K - 75K",N654&lt;100000,"75K - 100K",N654&gt;=100000,"Over 100K")</f>
        <v>45K - 75K</v>
      </c>
      <c r="P654" s="2" t="s">
        <v>47</v>
      </c>
    </row>
    <row r="655" spans="1:16">
      <c r="A655" s="2" t="s">
        <v>1353</v>
      </c>
      <c r="B655" s="2" t="s">
        <v>1354</v>
      </c>
      <c r="C655" s="2" t="s">
        <v>1300</v>
      </c>
      <c r="D655" s="2" t="s">
        <v>19</v>
      </c>
      <c r="E655" s="2">
        <v>-0.92260679999999995</v>
      </c>
      <c r="F655" s="3">
        <v>13.2</v>
      </c>
      <c r="G655" s="3">
        <v>12.9</v>
      </c>
      <c r="H655" s="3">
        <v>0</v>
      </c>
      <c r="I655" s="3">
        <v>0</v>
      </c>
      <c r="J655" s="3">
        <v>-0.3</v>
      </c>
      <c r="K655" s="3">
        <v>-2.2999999999999998</v>
      </c>
      <c r="L655" s="3">
        <v>5</v>
      </c>
      <c r="M655" s="3">
        <v>1.6</v>
      </c>
      <c r="N655" s="4">
        <v>40360</v>
      </c>
      <c r="O655" s="4" t="str" cm="1">
        <f t="array" ref="O655">_xlfn.IFS(N655&lt;45000,"Under 45K",N655&lt;75000,"45K - 75K",N655&lt;100000,"75K - 100K",N655&gt;=100000,"Over 100K")</f>
        <v>Under 45K</v>
      </c>
      <c r="P655" s="2" t="s">
        <v>47</v>
      </c>
    </row>
    <row r="656" spans="1:16">
      <c r="A656" s="2" t="s">
        <v>1355</v>
      </c>
      <c r="B656" s="2" t="s">
        <v>1356</v>
      </c>
      <c r="C656" s="2" t="s">
        <v>1300</v>
      </c>
      <c r="D656" s="2" t="s">
        <v>19</v>
      </c>
      <c r="E656" s="2">
        <v>-0.92440520000000004</v>
      </c>
      <c r="F656" s="3">
        <v>19.5</v>
      </c>
      <c r="G656" s="3">
        <v>21.7</v>
      </c>
      <c r="H656" s="3">
        <v>0</v>
      </c>
      <c r="I656" s="3">
        <v>0</v>
      </c>
      <c r="J656" s="3">
        <v>2.2000000000000002</v>
      </c>
      <c r="K656" s="3">
        <v>11.5</v>
      </c>
      <c r="L656" s="3">
        <v>5.0999999999999996</v>
      </c>
      <c r="M656" s="3">
        <v>2.8</v>
      </c>
      <c r="N656" s="4">
        <v>50540</v>
      </c>
      <c r="O656" s="4" t="str" cm="1">
        <f t="array" ref="O656">_xlfn.IFS(N656&lt;45000,"Under 45K",N656&lt;75000,"45K - 75K",N656&lt;100000,"75K - 100K",N656&gt;=100000,"Over 100K")</f>
        <v>45K - 75K</v>
      </c>
      <c r="P656" s="2" t="s">
        <v>47</v>
      </c>
    </row>
    <row r="657" spans="1:16">
      <c r="A657" s="2" t="s">
        <v>1357</v>
      </c>
      <c r="B657" s="2" t="s">
        <v>1358</v>
      </c>
      <c r="C657" s="2" t="s">
        <v>1300</v>
      </c>
      <c r="D657" s="2" t="s">
        <v>19</v>
      </c>
      <c r="E657" s="2">
        <v>-0.95470549999999998</v>
      </c>
      <c r="F657" s="3">
        <v>805.6</v>
      </c>
      <c r="G657" s="3">
        <v>839.2</v>
      </c>
      <c r="H657" s="3">
        <v>0.5</v>
      </c>
      <c r="I657" s="3">
        <v>0.5</v>
      </c>
      <c r="J657" s="3">
        <v>33.6</v>
      </c>
      <c r="K657" s="3">
        <v>4.2</v>
      </c>
      <c r="L657" s="3">
        <v>13.8</v>
      </c>
      <c r="M657" s="3">
        <v>70</v>
      </c>
      <c r="N657" s="4">
        <v>49670</v>
      </c>
      <c r="O657" s="4" t="str" cm="1">
        <f t="array" ref="O657">_xlfn.IFS(N657&lt;45000,"Under 45K",N657&lt;75000,"45K - 75K",N657&lt;100000,"75K - 100K",N657&gt;=100000,"Over 100K")</f>
        <v>45K - 75K</v>
      </c>
      <c r="P657" s="2" t="s">
        <v>152</v>
      </c>
    </row>
    <row r="658" spans="1:16">
      <c r="A658" s="2" t="s">
        <v>1359</v>
      </c>
      <c r="B658" s="2" t="s">
        <v>1360</v>
      </c>
      <c r="C658" s="2" t="s">
        <v>1300</v>
      </c>
      <c r="D658" s="2" t="s">
        <v>19</v>
      </c>
      <c r="E658" s="2">
        <v>-0.97037989999999996</v>
      </c>
      <c r="F658" s="3">
        <v>37.299999999999997</v>
      </c>
      <c r="G658" s="3">
        <v>38.299999999999997</v>
      </c>
      <c r="H658" s="3">
        <v>0</v>
      </c>
      <c r="I658" s="3">
        <v>0</v>
      </c>
      <c r="J658" s="3">
        <v>1</v>
      </c>
      <c r="K658" s="3">
        <v>2.6</v>
      </c>
      <c r="L658" s="3">
        <v>14.7</v>
      </c>
      <c r="M658" s="3">
        <v>3.1</v>
      </c>
      <c r="N658" s="4">
        <v>49410</v>
      </c>
      <c r="O658" s="4" t="str" cm="1">
        <f t="array" ref="O658">_xlfn.IFS(N658&lt;45000,"Under 45K",N658&lt;75000,"45K - 75K",N658&lt;100000,"75K - 100K",N658&gt;=100000,"Over 100K")</f>
        <v>45K - 75K</v>
      </c>
      <c r="P658" s="2" t="s">
        <v>47</v>
      </c>
    </row>
    <row r="659" spans="1:16">
      <c r="A659" s="2" t="s">
        <v>1361</v>
      </c>
      <c r="B659" s="2" t="s">
        <v>1362</v>
      </c>
      <c r="C659" s="2" t="s">
        <v>1300</v>
      </c>
      <c r="D659" s="2" t="s">
        <v>19</v>
      </c>
      <c r="E659" s="2">
        <v>-0.97099349999999995</v>
      </c>
      <c r="F659" s="3">
        <v>13.6</v>
      </c>
      <c r="G659" s="3">
        <v>20.5</v>
      </c>
      <c r="H659" s="3">
        <v>0</v>
      </c>
      <c r="I659" s="3">
        <v>0</v>
      </c>
      <c r="J659" s="3">
        <v>6.8</v>
      </c>
      <c r="K659" s="3">
        <v>49.9</v>
      </c>
      <c r="L659" s="3">
        <v>16.7</v>
      </c>
      <c r="M659" s="3">
        <v>2.2999999999999998</v>
      </c>
      <c r="N659" s="4">
        <v>62580</v>
      </c>
      <c r="O659" s="4" t="str" cm="1">
        <f t="array" ref="O659">_xlfn.IFS(N659&lt;45000,"Under 45K",N659&lt;75000,"45K - 75K",N659&lt;100000,"75K - 100K",N659&gt;=100000,"Over 100K")</f>
        <v>45K - 75K</v>
      </c>
      <c r="P659" s="2" t="s">
        <v>152</v>
      </c>
    </row>
    <row r="660" spans="1:16">
      <c r="A660" s="2" t="s">
        <v>1363</v>
      </c>
      <c r="B660" s="2" t="s">
        <v>1364</v>
      </c>
      <c r="C660" s="2" t="s">
        <v>1300</v>
      </c>
      <c r="D660" s="2" t="s">
        <v>19</v>
      </c>
      <c r="E660" s="2">
        <v>-0.9735492</v>
      </c>
      <c r="F660" s="3">
        <v>57.5</v>
      </c>
      <c r="G660" s="3">
        <v>55.9</v>
      </c>
      <c r="H660" s="3">
        <v>0</v>
      </c>
      <c r="I660" s="3">
        <v>0</v>
      </c>
      <c r="J660" s="3">
        <v>-1.6</v>
      </c>
      <c r="K660" s="3">
        <v>-2.8</v>
      </c>
      <c r="L660" s="3" t="s">
        <v>30</v>
      </c>
      <c r="M660" s="3">
        <v>4.8</v>
      </c>
      <c r="N660" s="4">
        <v>60500</v>
      </c>
      <c r="O660" s="4" t="str" cm="1">
        <f t="array" ref="O660">_xlfn.IFS(N660&lt;45000,"Under 45K",N660&lt;75000,"45K - 75K",N660&lt;100000,"75K - 100K",N660&gt;=100000,"Over 100K")</f>
        <v>45K - 75K</v>
      </c>
      <c r="P660" s="2" t="s">
        <v>47</v>
      </c>
    </row>
    <row r="661" spans="1:16">
      <c r="A661" s="2" t="s">
        <v>1365</v>
      </c>
      <c r="B661" s="2" t="s">
        <v>1366</v>
      </c>
      <c r="C661" s="2" t="s">
        <v>1300</v>
      </c>
      <c r="D661" s="2" t="s">
        <v>19</v>
      </c>
      <c r="E661" s="2">
        <v>-1.010472</v>
      </c>
      <c r="F661" s="3">
        <v>319.89999999999998</v>
      </c>
      <c r="G661" s="3">
        <v>327.7</v>
      </c>
      <c r="H661" s="3">
        <v>0.2</v>
      </c>
      <c r="I661" s="3">
        <v>0.2</v>
      </c>
      <c r="J661" s="3">
        <v>7.8</v>
      </c>
      <c r="K661" s="3">
        <v>2.4</v>
      </c>
      <c r="L661" s="3">
        <v>6.8</v>
      </c>
      <c r="M661" s="3">
        <v>26.5</v>
      </c>
      <c r="N661" s="4">
        <v>60640</v>
      </c>
      <c r="O661" s="4" t="str" cm="1">
        <f t="array" ref="O661">_xlfn.IFS(N661&lt;45000,"Under 45K",N661&lt;75000,"45K - 75K",N661&lt;100000,"75K - 100K",N661&gt;=100000,"Over 100K")</f>
        <v>45K - 75K</v>
      </c>
      <c r="P661" s="2" t="s">
        <v>47</v>
      </c>
    </row>
    <row r="662" spans="1:16">
      <c r="A662" s="2" t="s">
        <v>1367</v>
      </c>
      <c r="B662" s="2" t="s">
        <v>1368</v>
      </c>
      <c r="C662" s="2" t="s">
        <v>1300</v>
      </c>
      <c r="D662" s="2" t="s">
        <v>19</v>
      </c>
      <c r="E662" s="2">
        <v>-1.014408</v>
      </c>
      <c r="F662" s="3">
        <v>1629.7</v>
      </c>
      <c r="G662" s="3">
        <v>1692.1</v>
      </c>
      <c r="H662" s="3">
        <v>1</v>
      </c>
      <c r="I662" s="3">
        <v>1</v>
      </c>
      <c r="J662" s="3">
        <v>62.4</v>
      </c>
      <c r="K662" s="3">
        <v>3.8</v>
      </c>
      <c r="L662" s="3">
        <v>1.1000000000000001</v>
      </c>
      <c r="M662" s="3">
        <v>159.80000000000001</v>
      </c>
      <c r="N662" s="4">
        <v>48620</v>
      </c>
      <c r="O662" s="4" t="str" cm="1">
        <f t="array" ref="O662">_xlfn.IFS(N662&lt;45000,"Under 45K",N662&lt;75000,"45K - 75K",N662&lt;100000,"75K - 100K",N662&gt;=100000,"Over 100K")</f>
        <v>45K - 75K</v>
      </c>
      <c r="P662" s="2" t="s">
        <v>47</v>
      </c>
    </row>
    <row r="663" spans="1:16">
      <c r="A663" s="2" t="s">
        <v>1369</v>
      </c>
      <c r="B663" s="2" t="s">
        <v>1370</v>
      </c>
      <c r="C663" s="2" t="s">
        <v>1300</v>
      </c>
      <c r="D663" s="2" t="s">
        <v>19</v>
      </c>
      <c r="E663" s="2">
        <v>-1.0813980000000001</v>
      </c>
      <c r="F663" s="3">
        <v>127.4</v>
      </c>
      <c r="G663" s="3">
        <v>135.80000000000001</v>
      </c>
      <c r="H663" s="3">
        <v>0.1</v>
      </c>
      <c r="I663" s="3">
        <v>0.1</v>
      </c>
      <c r="J663" s="3">
        <v>8.4</v>
      </c>
      <c r="K663" s="3">
        <v>6.6</v>
      </c>
      <c r="L663" s="3">
        <v>1.4</v>
      </c>
      <c r="M663" s="3">
        <v>10.7</v>
      </c>
      <c r="N663" s="4">
        <v>92560</v>
      </c>
      <c r="O663" s="4" t="str" cm="1">
        <f t="array" ref="O663">_xlfn.IFS(N663&lt;45000,"Under 45K",N663&lt;75000,"45K - 75K",N663&lt;100000,"75K - 100K",N663&gt;=100000,"Over 100K")</f>
        <v>75K - 100K</v>
      </c>
      <c r="P663" s="2" t="s">
        <v>47</v>
      </c>
    </row>
    <row r="664" spans="1:16">
      <c r="A664" s="2" t="s">
        <v>1371</v>
      </c>
      <c r="B664" s="2" t="s">
        <v>1372</v>
      </c>
      <c r="C664" s="2" t="s">
        <v>1300</v>
      </c>
      <c r="D664" s="2" t="s">
        <v>19</v>
      </c>
      <c r="E664" s="2">
        <v>-1.0838829999999999</v>
      </c>
      <c r="F664" s="3">
        <v>99.9</v>
      </c>
      <c r="G664" s="3">
        <v>96.8</v>
      </c>
      <c r="H664" s="3">
        <v>0.1</v>
      </c>
      <c r="I664" s="3">
        <v>0.1</v>
      </c>
      <c r="J664" s="3">
        <v>-3.1</v>
      </c>
      <c r="K664" s="3">
        <v>-3.1</v>
      </c>
      <c r="L664" s="3">
        <v>1.3</v>
      </c>
      <c r="M664" s="3">
        <v>8.9</v>
      </c>
      <c r="N664" s="4">
        <v>70500</v>
      </c>
      <c r="O664" s="4" t="str" cm="1">
        <f t="array" ref="O664">_xlfn.IFS(N664&lt;45000,"Under 45K",N664&lt;75000,"45K - 75K",N664&lt;100000,"75K - 100K",N664&gt;=100000,"Over 100K")</f>
        <v>45K - 75K</v>
      </c>
      <c r="P664" s="2" t="s">
        <v>47</v>
      </c>
    </row>
    <row r="665" spans="1:16">
      <c r="A665" s="2" t="s">
        <v>1373</v>
      </c>
      <c r="B665" s="2" t="s">
        <v>1374</v>
      </c>
      <c r="C665" s="2" t="s">
        <v>1300</v>
      </c>
      <c r="D665" s="2" t="s">
        <v>19</v>
      </c>
      <c r="E665" s="2">
        <v>-1.1027279999999999</v>
      </c>
      <c r="F665" s="3">
        <v>4.2</v>
      </c>
      <c r="G665" s="3">
        <v>4.5</v>
      </c>
      <c r="H665" s="3">
        <v>0</v>
      </c>
      <c r="I665" s="3">
        <v>0</v>
      </c>
      <c r="J665" s="3">
        <v>0.4</v>
      </c>
      <c r="K665" s="3">
        <v>8.5</v>
      </c>
      <c r="L665" s="3">
        <v>16.600000000000001</v>
      </c>
      <c r="M665" s="3">
        <v>0.4</v>
      </c>
      <c r="N665" s="4">
        <v>61130</v>
      </c>
      <c r="O665" s="4" t="str" cm="1">
        <f t="array" ref="O665">_xlfn.IFS(N665&lt;45000,"Under 45K",N665&lt;75000,"45K - 75K",N665&lt;100000,"75K - 100K",N665&gt;=100000,"Over 100K")</f>
        <v>45K - 75K</v>
      </c>
      <c r="P665" s="2" t="s">
        <v>152</v>
      </c>
    </row>
    <row r="666" spans="1:16">
      <c r="A666" s="2" t="s">
        <v>1375</v>
      </c>
      <c r="B666" s="2" t="s">
        <v>1376</v>
      </c>
      <c r="C666" s="2" t="s">
        <v>1300</v>
      </c>
      <c r="D666" s="2" t="s">
        <v>19</v>
      </c>
      <c r="E666" s="2">
        <v>-1.1331770000000001</v>
      </c>
      <c r="F666" s="3">
        <v>439.6</v>
      </c>
      <c r="G666" s="3">
        <v>510.3</v>
      </c>
      <c r="H666" s="3">
        <v>0.3</v>
      </c>
      <c r="I666" s="3">
        <v>0.3</v>
      </c>
      <c r="J666" s="3">
        <v>70.7</v>
      </c>
      <c r="K666" s="3">
        <v>16.100000000000001</v>
      </c>
      <c r="L666" s="3">
        <v>1.7</v>
      </c>
      <c r="M666" s="3">
        <v>45.7</v>
      </c>
      <c r="N666" s="4">
        <v>63760</v>
      </c>
      <c r="O666" s="4" t="str" cm="1">
        <f t="array" ref="O666">_xlfn.IFS(N666&lt;45000,"Under 45K",N666&lt;75000,"45K - 75K",N666&lt;100000,"75K - 100K",N666&gt;=100000,"Over 100K")</f>
        <v>45K - 75K</v>
      </c>
      <c r="P666" s="2" t="s">
        <v>47</v>
      </c>
    </row>
    <row r="667" spans="1:16">
      <c r="A667" s="2" t="s">
        <v>1377</v>
      </c>
      <c r="B667" s="2" t="s">
        <v>1378</v>
      </c>
      <c r="C667" s="2" t="s">
        <v>1300</v>
      </c>
      <c r="D667" s="2" t="s">
        <v>19</v>
      </c>
      <c r="E667" s="2">
        <v>-1.169815</v>
      </c>
      <c r="F667" s="3">
        <v>188.7</v>
      </c>
      <c r="G667" s="3">
        <v>199.6</v>
      </c>
      <c r="H667" s="3">
        <v>0.1</v>
      </c>
      <c r="I667" s="3">
        <v>0.1</v>
      </c>
      <c r="J667" s="3">
        <v>10.9</v>
      </c>
      <c r="K667" s="3">
        <v>5.8</v>
      </c>
      <c r="L667" s="3">
        <v>3.2</v>
      </c>
      <c r="M667" s="3">
        <v>16.5</v>
      </c>
      <c r="N667" s="4">
        <v>63980</v>
      </c>
      <c r="O667" s="4" t="str" cm="1">
        <f t="array" ref="O667">_xlfn.IFS(N667&lt;45000,"Under 45K",N667&lt;75000,"45K - 75K",N667&lt;100000,"75K - 100K",N667&gt;=100000,"Over 100K")</f>
        <v>45K - 75K</v>
      </c>
      <c r="P667" s="2" t="s">
        <v>47</v>
      </c>
    </row>
    <row r="668" spans="1:16">
      <c r="A668" s="2" t="s">
        <v>1379</v>
      </c>
      <c r="B668" s="2" t="s">
        <v>1380</v>
      </c>
      <c r="C668" s="2" t="s">
        <v>1300</v>
      </c>
      <c r="D668" s="2" t="s">
        <v>19</v>
      </c>
      <c r="E668" s="2">
        <v>-1.1805890000000001</v>
      </c>
      <c r="F668" s="3">
        <v>172.6</v>
      </c>
      <c r="G668" s="3">
        <v>175.4</v>
      </c>
      <c r="H668" s="3">
        <v>0.1</v>
      </c>
      <c r="I668" s="3">
        <v>0.1</v>
      </c>
      <c r="J668" s="3">
        <v>2.8</v>
      </c>
      <c r="K668" s="3">
        <v>1.6</v>
      </c>
      <c r="L668" s="3">
        <v>9.9</v>
      </c>
      <c r="M668" s="3">
        <v>14.6</v>
      </c>
      <c r="N668" s="4">
        <v>51680</v>
      </c>
      <c r="O668" s="4" t="str" cm="1">
        <f t="array" ref="O668">_xlfn.IFS(N668&lt;45000,"Under 45K",N668&lt;75000,"45K - 75K",N668&lt;100000,"75K - 100K",N668&gt;=100000,"Over 100K")</f>
        <v>45K - 75K</v>
      </c>
      <c r="P668" s="2" t="s">
        <v>47</v>
      </c>
    </row>
    <row r="669" spans="1:16">
      <c r="A669" s="2" t="s">
        <v>1381</v>
      </c>
      <c r="B669" s="2" t="s">
        <v>1382</v>
      </c>
      <c r="C669" s="2" t="s">
        <v>1300</v>
      </c>
      <c r="D669" s="2" t="s">
        <v>19</v>
      </c>
      <c r="E669" s="2">
        <v>-1.202285</v>
      </c>
      <c r="F669" s="3">
        <v>20.399999999999999</v>
      </c>
      <c r="G669" s="3">
        <v>21.1</v>
      </c>
      <c r="H669" s="3">
        <v>0</v>
      </c>
      <c r="I669" s="3">
        <v>0</v>
      </c>
      <c r="J669" s="3">
        <v>0.7</v>
      </c>
      <c r="K669" s="3">
        <v>3.6</v>
      </c>
      <c r="L669" s="3">
        <v>7.2</v>
      </c>
      <c r="M669" s="3">
        <v>1.4</v>
      </c>
      <c r="N669" s="4">
        <v>47260</v>
      </c>
      <c r="O669" s="4" t="str" cm="1">
        <f t="array" ref="O669">_xlfn.IFS(N669&lt;45000,"Under 45K",N669&lt;75000,"45K - 75K",N669&lt;100000,"75K - 100K",N669&gt;=100000,"Over 100K")</f>
        <v>45K - 75K</v>
      </c>
      <c r="P669" s="2" t="s">
        <v>47</v>
      </c>
    </row>
    <row r="670" spans="1:16">
      <c r="A670" s="2" t="s">
        <v>1383</v>
      </c>
      <c r="B670" s="2" t="s">
        <v>1384</v>
      </c>
      <c r="C670" s="2" t="s">
        <v>1300</v>
      </c>
      <c r="D670" s="2" t="s">
        <v>19</v>
      </c>
      <c r="E670" s="2">
        <v>-1.20703</v>
      </c>
      <c r="F670" s="3">
        <v>39</v>
      </c>
      <c r="G670" s="3">
        <v>43.3</v>
      </c>
      <c r="H670" s="3">
        <v>0</v>
      </c>
      <c r="I670" s="3">
        <v>0</v>
      </c>
      <c r="J670" s="3">
        <v>4.3</v>
      </c>
      <c r="K670" s="3">
        <v>11</v>
      </c>
      <c r="L670" s="3">
        <v>3.4</v>
      </c>
      <c r="M670" s="3">
        <v>3.7</v>
      </c>
      <c r="N670" s="4">
        <v>52080</v>
      </c>
      <c r="O670" s="4" t="str" cm="1">
        <f t="array" ref="O670">_xlfn.IFS(N670&lt;45000,"Under 45K",N670&lt;75000,"45K - 75K",N670&lt;100000,"75K - 100K",N670&gt;=100000,"Over 100K")</f>
        <v>45K - 75K</v>
      </c>
      <c r="P670" s="2" t="s">
        <v>47</v>
      </c>
    </row>
    <row r="671" spans="1:16">
      <c r="A671" s="2" t="s">
        <v>1385</v>
      </c>
      <c r="B671" s="2" t="s">
        <v>1386</v>
      </c>
      <c r="C671" s="2" t="s">
        <v>1300</v>
      </c>
      <c r="D671" s="2" t="s">
        <v>19</v>
      </c>
      <c r="E671" s="2">
        <v>-1.221519</v>
      </c>
      <c r="F671" s="3">
        <v>24.6</v>
      </c>
      <c r="G671" s="3">
        <v>25.4</v>
      </c>
      <c r="H671" s="3">
        <v>0</v>
      </c>
      <c r="I671" s="3">
        <v>0</v>
      </c>
      <c r="J671" s="3">
        <v>0.8</v>
      </c>
      <c r="K671" s="3">
        <v>3.2</v>
      </c>
      <c r="L671" s="3" t="s">
        <v>30</v>
      </c>
      <c r="M671" s="3">
        <v>2.5</v>
      </c>
      <c r="N671" s="4">
        <v>62060</v>
      </c>
      <c r="O671" s="4" t="str" cm="1">
        <f t="array" ref="O671">_xlfn.IFS(N671&lt;45000,"Under 45K",N671&lt;75000,"45K - 75K",N671&lt;100000,"75K - 100K",N671&gt;=100000,"Over 100K")</f>
        <v>45K - 75K</v>
      </c>
      <c r="P671" s="2" t="s">
        <v>47</v>
      </c>
    </row>
    <row r="672" spans="1:16">
      <c r="A672" s="2" t="s">
        <v>1387</v>
      </c>
      <c r="B672" s="2" t="s">
        <v>1388</v>
      </c>
      <c r="C672" s="2" t="s">
        <v>1300</v>
      </c>
      <c r="D672" s="2" t="s">
        <v>19</v>
      </c>
      <c r="E672" s="2">
        <v>-1.237463</v>
      </c>
      <c r="F672" s="3">
        <v>1.1000000000000001</v>
      </c>
      <c r="G672" s="3">
        <v>0.9</v>
      </c>
      <c r="H672" s="3">
        <v>0</v>
      </c>
      <c r="I672" s="3">
        <v>0</v>
      </c>
      <c r="J672" s="3">
        <v>-0.2</v>
      </c>
      <c r="K672" s="3">
        <v>-16.899999999999999</v>
      </c>
      <c r="L672" s="3" t="s">
        <v>30</v>
      </c>
      <c r="M672" s="3">
        <v>0.1</v>
      </c>
      <c r="N672" s="4">
        <v>58540</v>
      </c>
      <c r="O672" s="4" t="str" cm="1">
        <f t="array" ref="O672">_xlfn.IFS(N672&lt;45000,"Under 45K",N672&lt;75000,"45K - 75K",N672&lt;100000,"75K - 100K",N672&gt;=100000,"Over 100K")</f>
        <v>45K - 75K</v>
      </c>
      <c r="P672" s="2" t="s">
        <v>47</v>
      </c>
    </row>
    <row r="673" spans="1:16">
      <c r="A673" s="2" t="s">
        <v>1389</v>
      </c>
      <c r="B673" s="2" t="s">
        <v>1390</v>
      </c>
      <c r="C673" s="2" t="s">
        <v>1300</v>
      </c>
      <c r="D673" s="2" t="s">
        <v>19</v>
      </c>
      <c r="E673" s="2">
        <v>-1.2660849999999999</v>
      </c>
      <c r="F673" s="3">
        <v>41.3</v>
      </c>
      <c r="G673" s="3">
        <v>41.3</v>
      </c>
      <c r="H673" s="3">
        <v>0</v>
      </c>
      <c r="I673" s="3">
        <v>0</v>
      </c>
      <c r="J673" s="3">
        <v>0</v>
      </c>
      <c r="K673" s="3">
        <v>0</v>
      </c>
      <c r="L673" s="3" t="s">
        <v>30</v>
      </c>
      <c r="M673" s="3">
        <v>3.6</v>
      </c>
      <c r="N673" s="4">
        <v>65170</v>
      </c>
      <c r="O673" s="4" t="str" cm="1">
        <f t="array" ref="O673">_xlfn.IFS(N673&lt;45000,"Under 45K",N673&lt;75000,"45K - 75K",N673&lt;100000,"75K - 100K",N673&gt;=100000,"Over 100K")</f>
        <v>45K - 75K</v>
      </c>
      <c r="P673" s="2" t="s">
        <v>47</v>
      </c>
    </row>
    <row r="674" spans="1:16">
      <c r="A674" s="2" t="s">
        <v>1391</v>
      </c>
      <c r="B674" s="2" t="s">
        <v>1392</v>
      </c>
      <c r="C674" s="2" t="s">
        <v>1300</v>
      </c>
      <c r="D674" s="2" t="s">
        <v>19</v>
      </c>
      <c r="E674" s="2">
        <v>-1.3465549999999999</v>
      </c>
      <c r="F674" s="3">
        <v>98.7</v>
      </c>
      <c r="G674" s="3">
        <v>101</v>
      </c>
      <c r="H674" s="3">
        <v>0.1</v>
      </c>
      <c r="I674" s="3">
        <v>0.1</v>
      </c>
      <c r="J674" s="3">
        <v>2.2000000000000002</v>
      </c>
      <c r="K674" s="3">
        <v>2.2999999999999998</v>
      </c>
      <c r="L674" s="3" t="s">
        <v>30</v>
      </c>
      <c r="M674" s="3">
        <v>11.8</v>
      </c>
      <c r="N674" s="4">
        <v>38860</v>
      </c>
      <c r="O674" s="4" t="str" cm="1">
        <f t="array" ref="O674">_xlfn.IFS(N674&lt;45000,"Under 45K",N674&lt;75000,"45K - 75K",N674&lt;100000,"75K - 100K",N674&gt;=100000,"Over 100K")</f>
        <v>Under 45K</v>
      </c>
      <c r="P674" s="2" t="s">
        <v>47</v>
      </c>
    </row>
    <row r="675" spans="1:16">
      <c r="A675" s="2" t="s">
        <v>1393</v>
      </c>
      <c r="B675" s="2" t="s">
        <v>1394</v>
      </c>
      <c r="C675" s="2" t="s">
        <v>1300</v>
      </c>
      <c r="D675" s="2" t="s">
        <v>19</v>
      </c>
      <c r="E675" s="2">
        <v>-1.3831519999999999</v>
      </c>
      <c r="F675" s="3">
        <v>28.4</v>
      </c>
      <c r="G675" s="3">
        <v>31.7</v>
      </c>
      <c r="H675" s="3">
        <v>0</v>
      </c>
      <c r="I675" s="3">
        <v>0</v>
      </c>
      <c r="J675" s="3">
        <v>3.2</v>
      </c>
      <c r="K675" s="3">
        <v>11.4</v>
      </c>
      <c r="L675" s="3" t="s">
        <v>30</v>
      </c>
      <c r="M675" s="3">
        <v>2.7</v>
      </c>
      <c r="N675" s="4">
        <v>51050</v>
      </c>
      <c r="O675" s="4" t="str" cm="1">
        <f t="array" ref="O675">_xlfn.IFS(N675&lt;45000,"Under 45K",N675&lt;75000,"45K - 75K",N675&lt;100000,"75K - 100K",N675&gt;=100000,"Over 100K")</f>
        <v>45K - 75K</v>
      </c>
      <c r="P675" s="2" t="s">
        <v>47</v>
      </c>
    </row>
    <row r="676" spans="1:16">
      <c r="A676" s="2" t="s">
        <v>1395</v>
      </c>
      <c r="B676" s="2" t="s">
        <v>1396</v>
      </c>
      <c r="C676" s="2" t="s">
        <v>1300</v>
      </c>
      <c r="D676" s="2" t="s">
        <v>19</v>
      </c>
      <c r="E676" s="2">
        <v>-1.4140619999999999</v>
      </c>
      <c r="F676" s="3">
        <v>3.1</v>
      </c>
      <c r="G676" s="3">
        <v>3.3</v>
      </c>
      <c r="H676" s="3">
        <v>0</v>
      </c>
      <c r="I676" s="3">
        <v>0</v>
      </c>
      <c r="J676" s="3">
        <v>0.2</v>
      </c>
      <c r="K676" s="3">
        <v>5.9</v>
      </c>
      <c r="L676" s="3">
        <v>17</v>
      </c>
      <c r="M676" s="3">
        <v>0.3</v>
      </c>
      <c r="N676" s="4">
        <v>41080</v>
      </c>
      <c r="O676" s="4" t="str" cm="1">
        <f t="array" ref="O676">_xlfn.IFS(N676&lt;45000,"Under 45K",N676&lt;75000,"45K - 75K",N676&lt;100000,"75K - 100K",N676&gt;=100000,"Over 100K")</f>
        <v>Under 45K</v>
      </c>
      <c r="P676" s="2" t="s">
        <v>47</v>
      </c>
    </row>
    <row r="677" spans="1:16">
      <c r="A677" s="2" t="s">
        <v>1397</v>
      </c>
      <c r="B677" s="2" t="s">
        <v>1398</v>
      </c>
      <c r="C677" s="2" t="s">
        <v>1300</v>
      </c>
      <c r="D677" s="2" t="s">
        <v>19</v>
      </c>
      <c r="E677" s="2">
        <v>-1.448102</v>
      </c>
      <c r="F677" s="3">
        <v>17.899999999999999</v>
      </c>
      <c r="G677" s="3">
        <v>18.399999999999999</v>
      </c>
      <c r="H677" s="3">
        <v>0</v>
      </c>
      <c r="I677" s="3">
        <v>0</v>
      </c>
      <c r="J677" s="3">
        <v>0.5</v>
      </c>
      <c r="K677" s="3">
        <v>2.8</v>
      </c>
      <c r="L677" s="3">
        <v>3.3</v>
      </c>
      <c r="M677" s="3">
        <v>1.5</v>
      </c>
      <c r="N677" s="4">
        <v>65680</v>
      </c>
      <c r="O677" s="4" t="str" cm="1">
        <f t="array" ref="O677">_xlfn.IFS(N677&lt;45000,"Under 45K",N677&lt;75000,"45K - 75K",N677&lt;100000,"75K - 100K",N677&gt;=100000,"Over 100K")</f>
        <v>45K - 75K</v>
      </c>
      <c r="P677" s="2" t="s">
        <v>47</v>
      </c>
    </row>
    <row r="678" spans="1:16">
      <c r="A678" s="2" t="s">
        <v>1399</v>
      </c>
      <c r="B678" s="2" t="s">
        <v>1400</v>
      </c>
      <c r="C678" s="2" t="s">
        <v>1300</v>
      </c>
      <c r="D678" s="2" t="s">
        <v>19</v>
      </c>
      <c r="E678" s="2">
        <v>-1.550724</v>
      </c>
      <c r="F678" s="3">
        <v>113.4</v>
      </c>
      <c r="G678" s="3">
        <v>119.9</v>
      </c>
      <c r="H678" s="3">
        <v>0.1</v>
      </c>
      <c r="I678" s="3">
        <v>0.1</v>
      </c>
      <c r="J678" s="3">
        <v>6.5</v>
      </c>
      <c r="K678" s="3">
        <v>5.7</v>
      </c>
      <c r="L678" s="3">
        <v>5</v>
      </c>
      <c r="M678" s="3">
        <v>15.3</v>
      </c>
      <c r="N678" s="4">
        <v>37120</v>
      </c>
      <c r="O678" s="4" t="str" cm="1">
        <f t="array" ref="O678">_xlfn.IFS(N678&lt;45000,"Under 45K",N678&lt;75000,"45K - 75K",N678&lt;100000,"75K - 100K",N678&gt;=100000,"Over 100K")</f>
        <v>Under 45K</v>
      </c>
      <c r="P678" s="2" t="s">
        <v>47</v>
      </c>
    </row>
    <row r="679" spans="1:16">
      <c r="A679" s="2" t="s">
        <v>1401</v>
      </c>
      <c r="B679" s="2" t="s">
        <v>1402</v>
      </c>
      <c r="C679" s="2" t="s">
        <v>1403</v>
      </c>
      <c r="D679" s="2" t="s">
        <v>19</v>
      </c>
      <c r="E679" s="2">
        <v>0.77053020000000005</v>
      </c>
      <c r="F679" s="3">
        <v>5.7</v>
      </c>
      <c r="G679" s="3">
        <v>4.9000000000000004</v>
      </c>
      <c r="H679" s="3">
        <v>0</v>
      </c>
      <c r="I679" s="3">
        <v>0</v>
      </c>
      <c r="J679" s="3">
        <v>-0.9</v>
      </c>
      <c r="K679" s="3">
        <v>-15.3</v>
      </c>
      <c r="L679" s="3" t="s">
        <v>30</v>
      </c>
      <c r="M679" s="3">
        <v>0.4</v>
      </c>
      <c r="N679" s="4">
        <v>122610</v>
      </c>
      <c r="O679" s="4" t="str" cm="1">
        <f t="array" ref="O679">_xlfn.IFS(N679&lt;45000,"Under 45K",N679&lt;75000,"45K - 75K",N679&lt;100000,"75K - 100K",N679&gt;=100000,"Over 100K")</f>
        <v>Over 100K</v>
      </c>
      <c r="P679" s="2" t="s">
        <v>47</v>
      </c>
    </row>
    <row r="680" spans="1:16">
      <c r="A680" s="2" t="s">
        <v>1404</v>
      </c>
      <c r="B680" s="2" t="s">
        <v>1405</v>
      </c>
      <c r="C680" s="2" t="s">
        <v>1403</v>
      </c>
      <c r="D680" s="2" t="s">
        <v>19</v>
      </c>
      <c r="E680" s="2">
        <v>0.50122140000000004</v>
      </c>
      <c r="F680" s="3">
        <v>9.3000000000000007</v>
      </c>
      <c r="G680" s="3">
        <v>9</v>
      </c>
      <c r="H680" s="3">
        <v>0</v>
      </c>
      <c r="I680" s="3">
        <v>0</v>
      </c>
      <c r="J680" s="3">
        <v>-0.3</v>
      </c>
      <c r="K680" s="3">
        <v>-3.2</v>
      </c>
      <c r="L680" s="3" t="s">
        <v>30</v>
      </c>
      <c r="M680" s="3">
        <v>0.8</v>
      </c>
      <c r="N680" s="4">
        <v>107240</v>
      </c>
      <c r="O680" s="4" t="str" cm="1">
        <f t="array" ref="O680">_xlfn.IFS(N680&lt;45000,"Under 45K",N680&lt;75000,"45K - 75K",N680&lt;100000,"75K - 100K",N680&gt;=100000,"Over 100K")</f>
        <v>Over 100K</v>
      </c>
      <c r="P680" s="2" t="s">
        <v>47</v>
      </c>
    </row>
    <row r="681" spans="1:16">
      <c r="A681" s="2" t="s">
        <v>1406</v>
      </c>
      <c r="B681" s="2" t="s">
        <v>1407</v>
      </c>
      <c r="C681" s="2" t="s">
        <v>1403</v>
      </c>
      <c r="D681" s="2" t="s">
        <v>19</v>
      </c>
      <c r="E681" s="16">
        <v>0.41079729999999998</v>
      </c>
      <c r="F681" s="3">
        <v>26.2</v>
      </c>
      <c r="G681" s="3">
        <v>22.3</v>
      </c>
      <c r="H681" s="3">
        <v>0</v>
      </c>
      <c r="I681" s="3">
        <v>0</v>
      </c>
      <c r="J681" s="3">
        <v>-3.8</v>
      </c>
      <c r="K681" s="3">
        <v>-14.6</v>
      </c>
      <c r="L681" s="3">
        <v>12.9</v>
      </c>
      <c r="M681" s="3">
        <v>2.8</v>
      </c>
      <c r="N681" s="4">
        <v>47300</v>
      </c>
      <c r="O681" s="4" t="str" cm="1">
        <f t="array" ref="O681">_xlfn.IFS(N681&lt;45000,"Under 45K",N681&lt;75000,"45K - 75K",N681&lt;100000,"75K - 100K",N681&gt;=100000,"Over 100K")</f>
        <v>45K - 75K</v>
      </c>
      <c r="P681" s="2" t="s">
        <v>152</v>
      </c>
    </row>
    <row r="682" spans="1:16">
      <c r="A682" s="2" t="s">
        <v>1408</v>
      </c>
      <c r="B682" s="2" t="s">
        <v>1409</v>
      </c>
      <c r="C682" s="2" t="s">
        <v>1403</v>
      </c>
      <c r="D682" s="2" t="s">
        <v>19</v>
      </c>
      <c r="E682" s="16">
        <v>1.3205999999999999E-3</v>
      </c>
      <c r="F682" s="3">
        <v>35.200000000000003</v>
      </c>
      <c r="G682" s="3">
        <v>33.6</v>
      </c>
      <c r="H682" s="3">
        <v>0</v>
      </c>
      <c r="I682" s="3">
        <v>0</v>
      </c>
      <c r="J682" s="3">
        <v>-1.6</v>
      </c>
      <c r="K682" s="3">
        <v>-4.7</v>
      </c>
      <c r="L682" s="3">
        <v>4</v>
      </c>
      <c r="M682" s="3">
        <v>3.9</v>
      </c>
      <c r="N682" s="4">
        <v>48310</v>
      </c>
      <c r="O682" s="4" t="str" cm="1">
        <f t="array" ref="O682">_xlfn.IFS(N682&lt;45000,"Under 45K",N682&lt;75000,"45K - 75K",N682&lt;100000,"75K - 100K",N682&gt;=100000,"Over 100K")</f>
        <v>45K - 75K</v>
      </c>
      <c r="P682" s="2" t="s">
        <v>47</v>
      </c>
    </row>
    <row r="683" spans="1:16">
      <c r="A683" s="2" t="s">
        <v>1410</v>
      </c>
      <c r="B683" s="2" t="s">
        <v>1411</v>
      </c>
      <c r="C683" s="2" t="s">
        <v>1403</v>
      </c>
      <c r="D683" s="2" t="s">
        <v>19</v>
      </c>
      <c r="E683" s="19">
        <v>0</v>
      </c>
      <c r="F683" s="3">
        <v>261.39999999999998</v>
      </c>
      <c r="G683" s="3">
        <v>273.3</v>
      </c>
      <c r="H683" s="3">
        <v>0.2</v>
      </c>
      <c r="I683" s="3">
        <v>0.2</v>
      </c>
      <c r="J683" s="3">
        <v>11.9</v>
      </c>
      <c r="K683" s="3">
        <v>4.5999999999999996</v>
      </c>
      <c r="L683" s="3" t="s">
        <v>30</v>
      </c>
      <c r="M683" s="3">
        <v>29.6</v>
      </c>
      <c r="N683" s="4">
        <v>44040</v>
      </c>
      <c r="O683" s="4" t="str" cm="1">
        <f t="array" ref="O683">_xlfn.IFS(N683&lt;45000,"Under 45K",N683&lt;75000,"45K - 75K",N683&lt;100000,"75K - 100K",N683&gt;=100000,"Over 100K")</f>
        <v>Under 45K</v>
      </c>
      <c r="P683" s="2" t="s">
        <v>47</v>
      </c>
    </row>
    <row r="684" spans="1:16">
      <c r="A684" s="2" t="s">
        <v>1412</v>
      </c>
      <c r="B684" s="2" t="s">
        <v>1413</v>
      </c>
      <c r="C684" s="2" t="s">
        <v>1403</v>
      </c>
      <c r="D684" s="2" t="s">
        <v>19</v>
      </c>
      <c r="E684" s="19">
        <v>0</v>
      </c>
      <c r="F684" s="3">
        <v>18.600000000000001</v>
      </c>
      <c r="G684" s="3">
        <v>19.399999999999999</v>
      </c>
      <c r="H684" s="3">
        <v>0</v>
      </c>
      <c r="I684" s="3">
        <v>0</v>
      </c>
      <c r="J684" s="3">
        <v>0.8</v>
      </c>
      <c r="K684" s="3">
        <v>4.2</v>
      </c>
      <c r="L684" s="3">
        <v>0.7</v>
      </c>
      <c r="M684" s="3">
        <v>2.1</v>
      </c>
      <c r="N684" s="4">
        <v>45760</v>
      </c>
      <c r="O684" s="4" t="str" cm="1">
        <f t="array" ref="O684">_xlfn.IFS(N684&lt;45000,"Under 45K",N684&lt;75000,"45K - 75K",N684&lt;100000,"75K - 100K",N684&gt;=100000,"Over 100K")</f>
        <v>45K - 75K</v>
      </c>
      <c r="P684" s="2" t="s">
        <v>47</v>
      </c>
    </row>
    <row r="685" spans="1:16">
      <c r="A685" s="2" t="s">
        <v>1414</v>
      </c>
      <c r="B685" s="2" t="s">
        <v>1415</v>
      </c>
      <c r="C685" s="2" t="s">
        <v>1403</v>
      </c>
      <c r="D685" s="2" t="s">
        <v>19</v>
      </c>
      <c r="E685" s="19">
        <v>0</v>
      </c>
      <c r="F685" s="3">
        <v>0.2</v>
      </c>
      <c r="G685" s="3">
        <v>0.2</v>
      </c>
      <c r="H685" s="3">
        <v>0</v>
      </c>
      <c r="I685" s="3">
        <v>0</v>
      </c>
      <c r="J685" s="3">
        <v>0</v>
      </c>
      <c r="K685" s="3">
        <v>-17.5</v>
      </c>
      <c r="L685" s="3" t="s">
        <v>30</v>
      </c>
      <c r="M685" s="3">
        <v>0</v>
      </c>
      <c r="N685" s="4">
        <v>40790</v>
      </c>
      <c r="O685" s="4" t="str" cm="1">
        <f t="array" ref="O685">_xlfn.IFS(N685&lt;45000,"Under 45K",N685&lt;75000,"45K - 75K",N685&lt;100000,"75K - 100K",N685&gt;=100000,"Over 100K")</f>
        <v>Under 45K</v>
      </c>
      <c r="P685" s="2" t="s">
        <v>47</v>
      </c>
    </row>
    <row r="686" spans="1:16">
      <c r="A686" s="2" t="s">
        <v>1416</v>
      </c>
      <c r="B686" s="2" t="s">
        <v>1417</v>
      </c>
      <c r="C686" s="2" t="s">
        <v>1403</v>
      </c>
      <c r="D686" s="2" t="s">
        <v>19</v>
      </c>
      <c r="E686" s="19">
        <v>0</v>
      </c>
      <c r="F686" s="3">
        <v>1467.1</v>
      </c>
      <c r="G686" s="3">
        <v>1465.9</v>
      </c>
      <c r="H686" s="3">
        <v>0.9</v>
      </c>
      <c r="I686" s="3">
        <v>0.8</v>
      </c>
      <c r="J686" s="3">
        <v>-1.3</v>
      </c>
      <c r="K686" s="3">
        <v>-0.1</v>
      </c>
      <c r="L686" s="3">
        <v>0.7</v>
      </c>
      <c r="M686" s="3">
        <v>156.30000000000001</v>
      </c>
      <c r="N686" s="4">
        <v>42210</v>
      </c>
      <c r="O686" s="4" t="str" cm="1">
        <f t="array" ref="O686">_xlfn.IFS(N686&lt;45000,"Under 45K",N686&lt;75000,"45K - 75K",N686&lt;100000,"75K - 100K",N686&gt;=100000,"Over 100K")</f>
        <v>Under 45K</v>
      </c>
      <c r="P686" s="2" t="s">
        <v>47</v>
      </c>
    </row>
    <row r="687" spans="1:16">
      <c r="A687" s="2" t="s">
        <v>1418</v>
      </c>
      <c r="B687" s="2" t="s">
        <v>1419</v>
      </c>
      <c r="C687" s="2" t="s">
        <v>1403</v>
      </c>
      <c r="D687" s="2" t="s">
        <v>19</v>
      </c>
      <c r="E687" s="19">
        <v>0</v>
      </c>
      <c r="F687" s="3">
        <v>58.7</v>
      </c>
      <c r="G687" s="3">
        <v>61.8</v>
      </c>
      <c r="H687" s="3">
        <v>0</v>
      </c>
      <c r="I687" s="3">
        <v>0</v>
      </c>
      <c r="J687" s="3">
        <v>3.1</v>
      </c>
      <c r="K687" s="3">
        <v>5.3</v>
      </c>
      <c r="L687" s="3">
        <v>1.7</v>
      </c>
      <c r="M687" s="3">
        <v>6.5</v>
      </c>
      <c r="N687" s="4">
        <v>38420</v>
      </c>
      <c r="O687" s="4" t="str" cm="1">
        <f t="array" ref="O687">_xlfn.IFS(N687&lt;45000,"Under 45K",N687&lt;75000,"45K - 75K",N687&lt;100000,"75K - 100K",N687&gt;=100000,"Over 100K")</f>
        <v>Under 45K</v>
      </c>
      <c r="P687" s="2" t="s">
        <v>165</v>
      </c>
    </row>
    <row r="688" spans="1:16">
      <c r="A688" s="2" t="s">
        <v>1420</v>
      </c>
      <c r="B688" s="2" t="s">
        <v>1421</v>
      </c>
      <c r="C688" s="2" t="s">
        <v>1403</v>
      </c>
      <c r="D688" s="2" t="s">
        <v>19</v>
      </c>
      <c r="E688" s="19">
        <v>0</v>
      </c>
      <c r="F688" s="3">
        <v>20.399999999999999</v>
      </c>
      <c r="G688" s="3">
        <v>18.5</v>
      </c>
      <c r="H688" s="3">
        <v>0</v>
      </c>
      <c r="I688" s="3">
        <v>0</v>
      </c>
      <c r="J688" s="3">
        <v>-1.9</v>
      </c>
      <c r="K688" s="3">
        <v>-9.5</v>
      </c>
      <c r="L688" s="3">
        <v>1</v>
      </c>
      <c r="M688" s="3">
        <v>1.7</v>
      </c>
      <c r="N688" s="4">
        <v>42750</v>
      </c>
      <c r="O688" s="4" t="str" cm="1">
        <f t="array" ref="O688">_xlfn.IFS(N688&lt;45000,"Under 45K",N688&lt;75000,"45K - 75K",N688&lt;100000,"75K - 100K",N688&gt;=100000,"Over 100K")</f>
        <v>Under 45K</v>
      </c>
      <c r="P688" s="2" t="s">
        <v>47</v>
      </c>
    </row>
    <row r="689" spans="1:16">
      <c r="A689" s="2" t="s">
        <v>1422</v>
      </c>
      <c r="B689" s="2" t="s">
        <v>1423</v>
      </c>
      <c r="C689" s="2" t="s">
        <v>1403</v>
      </c>
      <c r="D689" s="2" t="s">
        <v>19</v>
      </c>
      <c r="E689" s="19">
        <v>0</v>
      </c>
      <c r="F689" s="3">
        <v>14.7</v>
      </c>
      <c r="G689" s="3">
        <v>13.3</v>
      </c>
      <c r="H689" s="3">
        <v>0</v>
      </c>
      <c r="I689" s="3">
        <v>0</v>
      </c>
      <c r="J689" s="3">
        <v>-1.4</v>
      </c>
      <c r="K689" s="3">
        <v>-9.4</v>
      </c>
      <c r="L689" s="3" t="s">
        <v>30</v>
      </c>
      <c r="M689" s="3">
        <v>1.7</v>
      </c>
      <c r="N689" s="4">
        <v>37010</v>
      </c>
      <c r="O689" s="4" t="str" cm="1">
        <f t="array" ref="O689">_xlfn.IFS(N689&lt;45000,"Under 45K",N689&lt;75000,"45K - 75K",N689&lt;100000,"75K - 100K",N689&gt;=100000,"Over 100K")</f>
        <v>Under 45K</v>
      </c>
      <c r="P689" s="2" t="s">
        <v>47</v>
      </c>
    </row>
    <row r="690" spans="1:16">
      <c r="A690" s="2" t="s">
        <v>1424</v>
      </c>
      <c r="B690" s="2" t="s">
        <v>1425</v>
      </c>
      <c r="C690" s="2" t="s">
        <v>1403</v>
      </c>
      <c r="D690" s="2" t="s">
        <v>19</v>
      </c>
      <c r="E690" s="19">
        <v>0</v>
      </c>
      <c r="F690" s="3">
        <v>17.600000000000001</v>
      </c>
      <c r="G690" s="3">
        <v>16.8</v>
      </c>
      <c r="H690" s="3">
        <v>0</v>
      </c>
      <c r="I690" s="3">
        <v>0</v>
      </c>
      <c r="J690" s="3">
        <v>-0.8</v>
      </c>
      <c r="K690" s="3">
        <v>-4.4000000000000004</v>
      </c>
      <c r="L690" s="3">
        <v>59.5</v>
      </c>
      <c r="M690" s="3">
        <v>1.8</v>
      </c>
      <c r="N690" s="4">
        <v>41220</v>
      </c>
      <c r="O690" s="4" t="str" cm="1">
        <f t="array" ref="O690">_xlfn.IFS(N690&lt;45000,"Under 45K",N690&lt;75000,"45K - 75K",N690&lt;100000,"75K - 100K",N690&gt;=100000,"Over 100K")</f>
        <v>Under 45K</v>
      </c>
      <c r="P690" s="2" t="s">
        <v>47</v>
      </c>
    </row>
    <row r="691" spans="1:16">
      <c r="A691" s="2" t="s">
        <v>1426</v>
      </c>
      <c r="B691" s="2" t="s">
        <v>1427</v>
      </c>
      <c r="C691" s="2" t="s">
        <v>1403</v>
      </c>
      <c r="D691" s="2" t="s">
        <v>19</v>
      </c>
      <c r="E691" s="19">
        <v>0</v>
      </c>
      <c r="F691" s="3">
        <v>165.5</v>
      </c>
      <c r="G691" s="3">
        <v>166.7</v>
      </c>
      <c r="H691" s="3">
        <v>0.1</v>
      </c>
      <c r="I691" s="3">
        <v>0.1</v>
      </c>
      <c r="J691" s="3">
        <v>1.2</v>
      </c>
      <c r="K691" s="3">
        <v>0.7</v>
      </c>
      <c r="L691" s="3">
        <v>3.6</v>
      </c>
      <c r="M691" s="3">
        <v>15.8</v>
      </c>
      <c r="N691" s="4">
        <v>47590</v>
      </c>
      <c r="O691" s="4" t="str" cm="1">
        <f t="array" ref="O691">_xlfn.IFS(N691&lt;45000,"Under 45K",N691&lt;75000,"45K - 75K",N691&lt;100000,"75K - 100K",N691&gt;=100000,"Over 100K")</f>
        <v>45K - 75K</v>
      </c>
      <c r="P691" s="2" t="s">
        <v>47</v>
      </c>
    </row>
    <row r="692" spans="1:16">
      <c r="A692" s="2" t="s">
        <v>1428</v>
      </c>
      <c r="B692" s="2" t="s">
        <v>1429</v>
      </c>
      <c r="C692" s="2" t="s">
        <v>1403</v>
      </c>
      <c r="D692" s="2" t="s">
        <v>19</v>
      </c>
      <c r="E692" s="19">
        <v>0</v>
      </c>
      <c r="F692" s="3">
        <v>177.1</v>
      </c>
      <c r="G692" s="3">
        <v>158.1</v>
      </c>
      <c r="H692" s="3">
        <v>0.1</v>
      </c>
      <c r="I692" s="3">
        <v>0.1</v>
      </c>
      <c r="J692" s="3">
        <v>-19</v>
      </c>
      <c r="K692" s="3">
        <v>-10.7</v>
      </c>
      <c r="L692" s="3">
        <v>0.2</v>
      </c>
      <c r="M692" s="3">
        <v>13.5</v>
      </c>
      <c r="N692" s="4">
        <v>49970</v>
      </c>
      <c r="O692" s="4" t="str" cm="1">
        <f t="array" ref="O692">_xlfn.IFS(N692&lt;45000,"Under 45K",N692&lt;75000,"45K - 75K",N692&lt;100000,"75K - 100K",N692&gt;=100000,"Over 100K")</f>
        <v>45K - 75K</v>
      </c>
      <c r="P692" s="2" t="s">
        <v>47</v>
      </c>
    </row>
    <row r="693" spans="1:16">
      <c r="A693" s="2" t="s">
        <v>1430</v>
      </c>
      <c r="B693" s="2" t="s">
        <v>1431</v>
      </c>
      <c r="C693" s="2" t="s">
        <v>1403</v>
      </c>
      <c r="D693" s="2" t="s">
        <v>19</v>
      </c>
      <c r="E693" s="19">
        <v>0</v>
      </c>
      <c r="F693" s="3">
        <v>28.3</v>
      </c>
      <c r="G693" s="3">
        <v>31.9</v>
      </c>
      <c r="H693" s="3">
        <v>0</v>
      </c>
      <c r="I693" s="3">
        <v>0</v>
      </c>
      <c r="J693" s="3">
        <v>3.6</v>
      </c>
      <c r="K693" s="3">
        <v>12.8</v>
      </c>
      <c r="L693" s="3" t="s">
        <v>30</v>
      </c>
      <c r="M693" s="3">
        <v>3.1</v>
      </c>
      <c r="N693" s="4">
        <v>65670</v>
      </c>
      <c r="O693" s="4" t="str" cm="1">
        <f t="array" ref="O693">_xlfn.IFS(N693&lt;45000,"Under 45K",N693&lt;75000,"45K - 75K",N693&lt;100000,"75K - 100K",N693&gt;=100000,"Over 100K")</f>
        <v>45K - 75K</v>
      </c>
      <c r="P693" s="2" t="s">
        <v>152</v>
      </c>
    </row>
    <row r="694" spans="1:16">
      <c r="A694" s="2" t="s">
        <v>1432</v>
      </c>
      <c r="B694" s="2" t="s">
        <v>1433</v>
      </c>
      <c r="C694" s="2" t="s">
        <v>1403</v>
      </c>
      <c r="D694" s="2" t="s">
        <v>19</v>
      </c>
      <c r="E694" s="16">
        <v>-2.9339500000000001E-2</v>
      </c>
      <c r="F694" s="3">
        <v>598</v>
      </c>
      <c r="G694" s="3">
        <v>598.1</v>
      </c>
      <c r="H694" s="3">
        <v>0.4</v>
      </c>
      <c r="I694" s="3">
        <v>0.3</v>
      </c>
      <c r="J694" s="3">
        <v>0.1</v>
      </c>
      <c r="K694" s="3">
        <v>0</v>
      </c>
      <c r="L694" s="3">
        <v>1.4</v>
      </c>
      <c r="M694" s="3">
        <v>69.900000000000006</v>
      </c>
      <c r="N694" s="4">
        <v>47460</v>
      </c>
      <c r="O694" s="4" t="str" cm="1">
        <f t="array" ref="O694">_xlfn.IFS(N694&lt;45000,"Under 45K",N694&lt;75000,"45K - 75K",N694&lt;100000,"75K - 100K",N694&gt;=100000,"Over 100K")</f>
        <v>45K - 75K</v>
      </c>
      <c r="P694" s="2" t="s">
        <v>47</v>
      </c>
    </row>
    <row r="695" spans="1:16">
      <c r="A695" s="2" t="s">
        <v>1434</v>
      </c>
      <c r="B695" s="2" t="s">
        <v>1435</v>
      </c>
      <c r="C695" s="2" t="s">
        <v>1403</v>
      </c>
      <c r="D695" s="2" t="s">
        <v>19</v>
      </c>
      <c r="E695" s="16">
        <v>-8.3109600000000006E-2</v>
      </c>
      <c r="F695" s="3">
        <v>2.8</v>
      </c>
      <c r="G695" s="3">
        <v>2.5</v>
      </c>
      <c r="H695" s="3">
        <v>0</v>
      </c>
      <c r="I695" s="3">
        <v>0</v>
      </c>
      <c r="J695" s="3">
        <v>-0.3</v>
      </c>
      <c r="K695" s="3">
        <v>-10.199999999999999</v>
      </c>
      <c r="L695" s="3" t="s">
        <v>30</v>
      </c>
      <c r="M695" s="3">
        <v>0.3</v>
      </c>
      <c r="N695" s="4">
        <v>67670</v>
      </c>
      <c r="O695" s="4" t="str" cm="1">
        <f t="array" ref="O695">_xlfn.IFS(N695&lt;45000,"Under 45K",N695&lt;75000,"45K - 75K",N695&lt;100000,"75K - 100K",N695&gt;=100000,"Over 100K")</f>
        <v>45K - 75K</v>
      </c>
      <c r="P695" s="2" t="s">
        <v>47</v>
      </c>
    </row>
    <row r="696" spans="1:16">
      <c r="A696" s="2" t="s">
        <v>1436</v>
      </c>
      <c r="B696" s="2" t="s">
        <v>1437</v>
      </c>
      <c r="C696" s="2" t="s">
        <v>1403</v>
      </c>
      <c r="D696" s="2" t="s">
        <v>19</v>
      </c>
      <c r="E696" s="16">
        <v>-8.4528199999999998E-2</v>
      </c>
      <c r="F696" s="3">
        <v>698.6</v>
      </c>
      <c r="G696" s="3">
        <v>706.9</v>
      </c>
      <c r="H696" s="3">
        <v>0.4</v>
      </c>
      <c r="I696" s="3">
        <v>0.4</v>
      </c>
      <c r="J696" s="3">
        <v>8.3000000000000007</v>
      </c>
      <c r="K696" s="3">
        <v>1.2</v>
      </c>
      <c r="L696" s="3">
        <v>1.2</v>
      </c>
      <c r="M696" s="3">
        <v>67.7</v>
      </c>
      <c r="N696" s="4">
        <v>71190</v>
      </c>
      <c r="O696" s="4" t="str" cm="1">
        <f t="array" ref="O696">_xlfn.IFS(N696&lt;45000,"Under 45K",N696&lt;75000,"45K - 75K",N696&lt;100000,"75K - 100K",N696&gt;=100000,"Over 100K")</f>
        <v>45K - 75K</v>
      </c>
      <c r="P696" s="2" t="s">
        <v>47</v>
      </c>
    </row>
    <row r="697" spans="1:16">
      <c r="A697" s="2" t="s">
        <v>1438</v>
      </c>
      <c r="B697" s="2" t="s">
        <v>1439</v>
      </c>
      <c r="C697" s="2" t="s">
        <v>1403</v>
      </c>
      <c r="D697" s="2" t="s">
        <v>19</v>
      </c>
      <c r="E697" s="16">
        <v>-0.15601970000000001</v>
      </c>
      <c r="F697" s="3">
        <v>35.1</v>
      </c>
      <c r="G697" s="3">
        <v>33.200000000000003</v>
      </c>
      <c r="H697" s="3">
        <v>0</v>
      </c>
      <c r="I697" s="3">
        <v>0</v>
      </c>
      <c r="J697" s="3">
        <v>-1.9</v>
      </c>
      <c r="K697" s="3">
        <v>-5.5</v>
      </c>
      <c r="L697" s="3">
        <v>33.9</v>
      </c>
      <c r="M697" s="3">
        <v>4</v>
      </c>
      <c r="N697" s="4">
        <v>49140</v>
      </c>
      <c r="O697" s="4" t="str" cm="1">
        <f t="array" ref="O697">_xlfn.IFS(N697&lt;45000,"Under 45K",N697&lt;75000,"45K - 75K",N697&lt;100000,"75K - 100K",N697&gt;=100000,"Over 100K")</f>
        <v>45K - 75K</v>
      </c>
      <c r="P697" s="2" t="s">
        <v>47</v>
      </c>
    </row>
    <row r="698" spans="1:16">
      <c r="A698" s="2" t="s">
        <v>1440</v>
      </c>
      <c r="B698" s="2" t="s">
        <v>1441</v>
      </c>
      <c r="C698" s="2" t="s">
        <v>1403</v>
      </c>
      <c r="D698" s="2" t="s">
        <v>19</v>
      </c>
      <c r="E698" s="16">
        <v>-0.29820819999999998</v>
      </c>
      <c r="F698" s="3">
        <v>16.2</v>
      </c>
      <c r="G698" s="3">
        <v>14.8</v>
      </c>
      <c r="H698" s="3">
        <v>0</v>
      </c>
      <c r="I698" s="3">
        <v>0</v>
      </c>
      <c r="J698" s="3">
        <v>-1.4</v>
      </c>
      <c r="K698" s="3">
        <v>-8.8000000000000007</v>
      </c>
      <c r="L698" s="3" t="s">
        <v>30</v>
      </c>
      <c r="M698" s="3">
        <v>1.3</v>
      </c>
      <c r="N698" s="4">
        <v>83400</v>
      </c>
      <c r="O698" s="4" t="str" cm="1">
        <f t="array" ref="O698">_xlfn.IFS(N698&lt;45000,"Under 45K",N698&lt;75000,"45K - 75K",N698&lt;100000,"75K - 100K",N698&gt;=100000,"Over 100K")</f>
        <v>75K - 100K</v>
      </c>
      <c r="P698" s="2" t="s">
        <v>47</v>
      </c>
    </row>
    <row r="699" spans="1:16">
      <c r="A699" s="2" t="s">
        <v>1442</v>
      </c>
      <c r="B699" s="2" t="s">
        <v>1443</v>
      </c>
      <c r="C699" s="2" t="s">
        <v>1403</v>
      </c>
      <c r="D699" s="2" t="s">
        <v>19</v>
      </c>
      <c r="E699" s="16">
        <v>-0.34827789999999997</v>
      </c>
      <c r="F699" s="3">
        <v>31.6</v>
      </c>
      <c r="G699" s="3">
        <v>28</v>
      </c>
      <c r="H699" s="3">
        <v>0</v>
      </c>
      <c r="I699" s="3">
        <v>0</v>
      </c>
      <c r="J699" s="3">
        <v>-3.5</v>
      </c>
      <c r="K699" s="3">
        <v>-11.2</v>
      </c>
      <c r="L699" s="3" t="s">
        <v>30</v>
      </c>
      <c r="M699" s="3">
        <v>2.5</v>
      </c>
      <c r="N699" s="4">
        <v>99670</v>
      </c>
      <c r="O699" s="4" t="str" cm="1">
        <f t="array" ref="O699">_xlfn.IFS(N699&lt;45000,"Under 45K",N699&lt;75000,"45K - 75K",N699&lt;100000,"75K - 100K",N699&gt;=100000,"Over 100K")</f>
        <v>75K - 100K</v>
      </c>
      <c r="P699" s="2" t="s">
        <v>47</v>
      </c>
    </row>
    <row r="700" spans="1:16">
      <c r="A700" s="2" t="s">
        <v>1444</v>
      </c>
      <c r="B700" s="2" t="s">
        <v>1445</v>
      </c>
      <c r="C700" s="2" t="s">
        <v>1403</v>
      </c>
      <c r="D700" s="2" t="s">
        <v>19</v>
      </c>
      <c r="E700" s="16">
        <v>-0.36158059999999997</v>
      </c>
      <c r="F700" s="3">
        <v>11.2</v>
      </c>
      <c r="G700" s="3">
        <v>10.9</v>
      </c>
      <c r="H700" s="3">
        <v>0</v>
      </c>
      <c r="I700" s="3">
        <v>0</v>
      </c>
      <c r="J700" s="3">
        <v>-0.3</v>
      </c>
      <c r="K700" s="3">
        <v>-2.6</v>
      </c>
      <c r="L700" s="3">
        <v>39</v>
      </c>
      <c r="M700" s="3">
        <v>1.5</v>
      </c>
      <c r="N700" s="4">
        <v>40100</v>
      </c>
      <c r="O700" s="4" t="str" cm="1">
        <f t="array" ref="O700">_xlfn.IFS(N700&lt;45000,"Under 45K",N700&lt;75000,"45K - 75K",N700&lt;100000,"75K - 100K",N700&gt;=100000,"Over 100K")</f>
        <v>Under 45K</v>
      </c>
      <c r="P700" s="2" t="s">
        <v>47</v>
      </c>
    </row>
    <row r="701" spans="1:16">
      <c r="A701" s="2" t="s">
        <v>1446</v>
      </c>
      <c r="B701" s="2" t="s">
        <v>1447</v>
      </c>
      <c r="C701" s="2" t="s">
        <v>1403</v>
      </c>
      <c r="D701" s="2" t="s">
        <v>19</v>
      </c>
      <c r="E701" s="16">
        <v>-0.37003599999999998</v>
      </c>
      <c r="F701" s="3">
        <v>34.9</v>
      </c>
      <c r="G701" s="3">
        <v>34</v>
      </c>
      <c r="H701" s="3">
        <v>0</v>
      </c>
      <c r="I701" s="3">
        <v>0</v>
      </c>
      <c r="J701" s="3">
        <v>-1</v>
      </c>
      <c r="K701" s="3">
        <v>-2.8</v>
      </c>
      <c r="L701" s="3" t="s">
        <v>30</v>
      </c>
      <c r="M701" s="3">
        <v>3.2</v>
      </c>
      <c r="N701" s="4">
        <v>97540</v>
      </c>
      <c r="O701" s="4" t="str" cm="1">
        <f t="array" ref="O701">_xlfn.IFS(N701&lt;45000,"Under 45K",N701&lt;75000,"45K - 75K",N701&lt;100000,"75K - 100K",N701&gt;=100000,"Over 100K")</f>
        <v>75K - 100K</v>
      </c>
      <c r="P701" s="2" t="s">
        <v>47</v>
      </c>
    </row>
    <row r="702" spans="1:16">
      <c r="A702" s="2" t="s">
        <v>1448</v>
      </c>
      <c r="B702" s="2" t="s">
        <v>1449</v>
      </c>
      <c r="C702" s="2" t="s">
        <v>1403</v>
      </c>
      <c r="D702" s="2" t="s">
        <v>19</v>
      </c>
      <c r="E702" s="16">
        <v>-0.37911139999999999</v>
      </c>
      <c r="F702" s="3">
        <v>173.5</v>
      </c>
      <c r="G702" s="3">
        <v>185.4</v>
      </c>
      <c r="H702" s="3">
        <v>0.1</v>
      </c>
      <c r="I702" s="3">
        <v>0.1</v>
      </c>
      <c r="J702" s="3">
        <v>11.9</v>
      </c>
      <c r="K702" s="3">
        <v>6.9</v>
      </c>
      <c r="L702" s="3">
        <v>0.6</v>
      </c>
      <c r="M702" s="3">
        <v>24.2</v>
      </c>
      <c r="N702" s="4">
        <v>40790</v>
      </c>
      <c r="O702" s="4" t="str" cm="1">
        <f t="array" ref="O702">_xlfn.IFS(N702&lt;45000,"Under 45K",N702&lt;75000,"45K - 75K",N702&lt;100000,"75K - 100K",N702&gt;=100000,"Over 100K")</f>
        <v>Under 45K</v>
      </c>
      <c r="P702" s="2" t="s">
        <v>47</v>
      </c>
    </row>
    <row r="703" spans="1:16">
      <c r="A703" s="2" t="s">
        <v>1450</v>
      </c>
      <c r="B703" s="2" t="s">
        <v>1451</v>
      </c>
      <c r="C703" s="2" t="s">
        <v>1403</v>
      </c>
      <c r="D703" s="2" t="s">
        <v>19</v>
      </c>
      <c r="E703" s="16">
        <v>-0.38312819999999997</v>
      </c>
      <c r="F703" s="3">
        <v>18.100000000000001</v>
      </c>
      <c r="G703" s="3">
        <v>17</v>
      </c>
      <c r="H703" s="3">
        <v>0</v>
      </c>
      <c r="I703" s="3">
        <v>0</v>
      </c>
      <c r="J703" s="3">
        <v>-1.1000000000000001</v>
      </c>
      <c r="K703" s="3">
        <v>-6.1</v>
      </c>
      <c r="L703" s="3" t="s">
        <v>30</v>
      </c>
      <c r="M703" s="3">
        <v>1.6</v>
      </c>
      <c r="N703" s="4">
        <v>73540</v>
      </c>
      <c r="O703" s="4" t="str" cm="1">
        <f t="array" ref="O703">_xlfn.IFS(N703&lt;45000,"Under 45K",N703&lt;75000,"45K - 75K",N703&lt;100000,"75K - 100K",N703&gt;=100000,"Over 100K")</f>
        <v>45K - 75K</v>
      </c>
      <c r="P703" s="2" t="s">
        <v>47</v>
      </c>
    </row>
    <row r="704" spans="1:16">
      <c r="A704" s="2" t="s">
        <v>1452</v>
      </c>
      <c r="B704" s="2" t="s">
        <v>1453</v>
      </c>
      <c r="C704" s="2" t="s">
        <v>1403</v>
      </c>
      <c r="D704" s="2" t="s">
        <v>19</v>
      </c>
      <c r="E704" s="16">
        <v>-0.3852989</v>
      </c>
      <c r="F704" s="3">
        <v>249.1</v>
      </c>
      <c r="G704" s="3">
        <v>263.2</v>
      </c>
      <c r="H704" s="3">
        <v>0.1</v>
      </c>
      <c r="I704" s="3">
        <v>0.2</v>
      </c>
      <c r="J704" s="3">
        <v>14</v>
      </c>
      <c r="K704" s="3">
        <v>5.6</v>
      </c>
      <c r="L704" s="3">
        <v>6.2</v>
      </c>
      <c r="M704" s="3">
        <v>39.9</v>
      </c>
      <c r="N704" s="4">
        <v>36650</v>
      </c>
      <c r="O704" s="4" t="str" cm="1">
        <f t="array" ref="O704">_xlfn.IFS(N704&lt;45000,"Under 45K",N704&lt;75000,"45K - 75K",N704&lt;100000,"75K - 100K",N704&gt;=100000,"Over 100K")</f>
        <v>Under 45K</v>
      </c>
      <c r="P704" s="2" t="s">
        <v>165</v>
      </c>
    </row>
    <row r="705" spans="1:16">
      <c r="A705" s="2" t="s">
        <v>1454</v>
      </c>
      <c r="B705" s="2" t="s">
        <v>1455</v>
      </c>
      <c r="C705" s="2" t="s">
        <v>1403</v>
      </c>
      <c r="D705" s="2" t="s">
        <v>19</v>
      </c>
      <c r="E705" s="16">
        <v>-0.43052679999999999</v>
      </c>
      <c r="F705" s="3">
        <v>38.799999999999997</v>
      </c>
      <c r="G705" s="3">
        <v>37.1</v>
      </c>
      <c r="H705" s="3">
        <v>0</v>
      </c>
      <c r="I705" s="3">
        <v>0</v>
      </c>
      <c r="J705" s="3">
        <v>-1.7</v>
      </c>
      <c r="K705" s="3">
        <v>-4.5</v>
      </c>
      <c r="L705" s="3">
        <v>57.4</v>
      </c>
      <c r="M705" s="3">
        <v>5</v>
      </c>
      <c r="N705" s="4">
        <v>40860</v>
      </c>
      <c r="O705" s="4" t="str" cm="1">
        <f t="array" ref="O705">_xlfn.IFS(N705&lt;45000,"Under 45K",N705&lt;75000,"45K - 75K",N705&lt;100000,"75K - 100K",N705&gt;=100000,"Over 100K")</f>
        <v>Under 45K</v>
      </c>
      <c r="P705" s="2" t="s">
        <v>165</v>
      </c>
    </row>
    <row r="706" spans="1:16">
      <c r="A706" s="2" t="s">
        <v>1456</v>
      </c>
      <c r="B706" s="2" t="s">
        <v>1457</v>
      </c>
      <c r="C706" s="2" t="s">
        <v>1403</v>
      </c>
      <c r="D706" s="2" t="s">
        <v>19</v>
      </c>
      <c r="E706" s="16">
        <v>-0.44501000000000002</v>
      </c>
      <c r="F706" s="3">
        <v>132.4</v>
      </c>
      <c r="G706" s="3">
        <v>123.8</v>
      </c>
      <c r="H706" s="3">
        <v>0.1</v>
      </c>
      <c r="I706" s="3">
        <v>0.1</v>
      </c>
      <c r="J706" s="3">
        <v>-8.6999999999999993</v>
      </c>
      <c r="K706" s="3">
        <v>-6.5</v>
      </c>
      <c r="L706" s="3">
        <v>1.1000000000000001</v>
      </c>
      <c r="M706" s="3">
        <v>10.7</v>
      </c>
      <c r="N706" s="4">
        <v>58260</v>
      </c>
      <c r="O706" s="4" t="str" cm="1">
        <f t="array" ref="O706">_xlfn.IFS(N706&lt;45000,"Under 45K",N706&lt;75000,"45K - 75K",N706&lt;100000,"75K - 100K",N706&gt;=100000,"Over 100K")</f>
        <v>45K - 75K</v>
      </c>
      <c r="P706" s="2" t="s">
        <v>47</v>
      </c>
    </row>
    <row r="707" spans="1:16">
      <c r="A707" s="2" t="s">
        <v>1458</v>
      </c>
      <c r="B707" s="2" t="s">
        <v>1459</v>
      </c>
      <c r="C707" s="2" t="s">
        <v>1403</v>
      </c>
      <c r="D707" s="2" t="s">
        <v>19</v>
      </c>
      <c r="E707" s="16">
        <v>-0.4949538</v>
      </c>
      <c r="F707" s="3">
        <v>12</v>
      </c>
      <c r="G707" s="3">
        <v>12.4</v>
      </c>
      <c r="H707" s="3">
        <v>0</v>
      </c>
      <c r="I707" s="3">
        <v>0</v>
      </c>
      <c r="J707" s="3">
        <v>0.4</v>
      </c>
      <c r="K707" s="3">
        <v>3.7</v>
      </c>
      <c r="L707" s="3">
        <v>4</v>
      </c>
      <c r="M707" s="3">
        <v>1.5</v>
      </c>
      <c r="N707" s="4">
        <v>47060</v>
      </c>
      <c r="O707" s="4" t="str" cm="1">
        <f t="array" ref="O707">_xlfn.IFS(N707&lt;45000,"Under 45K",N707&lt;75000,"45K - 75K",N707&lt;100000,"75K - 100K",N707&gt;=100000,"Over 100K")</f>
        <v>45K - 75K</v>
      </c>
      <c r="P707" s="2" t="s">
        <v>47</v>
      </c>
    </row>
    <row r="708" spans="1:16">
      <c r="A708" s="2" t="s">
        <v>1460</v>
      </c>
      <c r="B708" s="2" t="s">
        <v>1461</v>
      </c>
      <c r="C708" s="2" t="s">
        <v>1403</v>
      </c>
      <c r="D708" s="2" t="s">
        <v>19</v>
      </c>
      <c r="E708" s="16">
        <v>-0.50324959999999996</v>
      </c>
      <c r="F708" s="3">
        <v>33.299999999999997</v>
      </c>
      <c r="G708" s="3">
        <v>34</v>
      </c>
      <c r="H708" s="3">
        <v>0</v>
      </c>
      <c r="I708" s="3">
        <v>0</v>
      </c>
      <c r="J708" s="3">
        <v>0.7</v>
      </c>
      <c r="K708" s="3">
        <v>2.2000000000000002</v>
      </c>
      <c r="L708" s="3">
        <v>3.1</v>
      </c>
      <c r="M708" s="3">
        <v>3.8</v>
      </c>
      <c r="N708" s="4">
        <v>75190</v>
      </c>
      <c r="O708" s="4" t="str" cm="1">
        <f t="array" ref="O708">_xlfn.IFS(N708&lt;45000,"Under 45K",N708&lt;75000,"45K - 75K",N708&lt;100000,"75K - 100K",N708&gt;=100000,"Over 100K")</f>
        <v>75K - 100K</v>
      </c>
      <c r="P708" s="2" t="s">
        <v>47</v>
      </c>
    </row>
    <row r="709" spans="1:16">
      <c r="A709" s="2" t="s">
        <v>1462</v>
      </c>
      <c r="B709" s="2" t="s">
        <v>1463</v>
      </c>
      <c r="C709" s="2" t="s">
        <v>1403</v>
      </c>
      <c r="D709" s="2" t="s">
        <v>19</v>
      </c>
      <c r="E709" s="16">
        <v>-0.511521</v>
      </c>
      <c r="F709" s="3">
        <v>128.9</v>
      </c>
      <c r="G709" s="3">
        <v>133.1</v>
      </c>
      <c r="H709" s="3">
        <v>0.1</v>
      </c>
      <c r="I709" s="3">
        <v>0.1</v>
      </c>
      <c r="J709" s="3">
        <v>4.3</v>
      </c>
      <c r="K709" s="3">
        <v>3.3</v>
      </c>
      <c r="L709" s="3">
        <v>0.4</v>
      </c>
      <c r="M709" s="3">
        <v>14.4</v>
      </c>
      <c r="N709" s="4">
        <v>57090</v>
      </c>
      <c r="O709" s="4" t="str" cm="1">
        <f t="array" ref="O709">_xlfn.IFS(N709&lt;45000,"Under 45K",N709&lt;75000,"45K - 75K",N709&lt;100000,"75K - 100K",N709&gt;=100000,"Over 100K")</f>
        <v>45K - 75K</v>
      </c>
      <c r="P709" s="2" t="s">
        <v>47</v>
      </c>
    </row>
    <row r="710" spans="1:16">
      <c r="A710" s="2" t="s">
        <v>1464</v>
      </c>
      <c r="B710" s="2" t="s">
        <v>1465</v>
      </c>
      <c r="C710" s="2" t="s">
        <v>1403</v>
      </c>
      <c r="D710" s="2" t="s">
        <v>19</v>
      </c>
      <c r="E710" s="16">
        <v>-0.53178970000000003</v>
      </c>
      <c r="F710" s="3">
        <v>55.2</v>
      </c>
      <c r="G710" s="3">
        <v>49.3</v>
      </c>
      <c r="H710" s="3">
        <v>0</v>
      </c>
      <c r="I710" s="3">
        <v>0</v>
      </c>
      <c r="J710" s="3">
        <v>-6</v>
      </c>
      <c r="K710" s="3">
        <v>-10.8</v>
      </c>
      <c r="L710" s="3" t="s">
        <v>30</v>
      </c>
      <c r="M710" s="3">
        <v>4.7</v>
      </c>
      <c r="N710" s="4">
        <v>63180</v>
      </c>
      <c r="O710" s="4" t="str" cm="1">
        <f t="array" ref="O710">_xlfn.IFS(N710&lt;45000,"Under 45K",N710&lt;75000,"45K - 75K",N710&lt;100000,"75K - 100K",N710&gt;=100000,"Over 100K")</f>
        <v>45K - 75K</v>
      </c>
      <c r="P710" s="2" t="s">
        <v>152</v>
      </c>
    </row>
    <row r="711" spans="1:16">
      <c r="A711" s="2" t="s">
        <v>1466</v>
      </c>
      <c r="B711" s="2" t="s">
        <v>1467</v>
      </c>
      <c r="C711" s="2" t="s">
        <v>1403</v>
      </c>
      <c r="D711" s="2" t="s">
        <v>19</v>
      </c>
      <c r="E711" s="16">
        <v>-0.55598939999999997</v>
      </c>
      <c r="F711" s="3">
        <v>29.7</v>
      </c>
      <c r="G711" s="3">
        <v>29.9</v>
      </c>
      <c r="H711" s="3">
        <v>0</v>
      </c>
      <c r="I711" s="3">
        <v>0</v>
      </c>
      <c r="J711" s="3">
        <v>0.2</v>
      </c>
      <c r="K711" s="3">
        <v>0.6</v>
      </c>
      <c r="L711" s="3">
        <v>6.2</v>
      </c>
      <c r="M711" s="3">
        <v>4.4000000000000004</v>
      </c>
      <c r="N711" s="4">
        <v>40550</v>
      </c>
      <c r="O711" s="4" t="str" cm="1">
        <f t="array" ref="O711">_xlfn.IFS(N711&lt;45000,"Under 45K",N711&lt;75000,"45K - 75K",N711&lt;100000,"75K - 100K",N711&gt;=100000,"Over 100K")</f>
        <v>Under 45K</v>
      </c>
      <c r="P711" s="2" t="s">
        <v>47</v>
      </c>
    </row>
    <row r="712" spans="1:16">
      <c r="A712" s="2" t="s">
        <v>1468</v>
      </c>
      <c r="B712" s="2" t="s">
        <v>1469</v>
      </c>
      <c r="C712" s="2" t="s">
        <v>1403</v>
      </c>
      <c r="D712" s="2" t="s">
        <v>19</v>
      </c>
      <c r="E712" s="16">
        <v>-0.59667590000000004</v>
      </c>
      <c r="F712" s="3">
        <v>19.600000000000001</v>
      </c>
      <c r="G712" s="3">
        <v>20</v>
      </c>
      <c r="H712" s="3">
        <v>0</v>
      </c>
      <c r="I712" s="3">
        <v>0</v>
      </c>
      <c r="J712" s="3">
        <v>0.5</v>
      </c>
      <c r="K712" s="3">
        <v>2.2999999999999998</v>
      </c>
      <c r="L712" s="3">
        <v>4</v>
      </c>
      <c r="M712" s="3">
        <v>2.4</v>
      </c>
      <c r="N712" s="4">
        <v>38420</v>
      </c>
      <c r="O712" s="4" t="str" cm="1">
        <f t="array" ref="O712">_xlfn.IFS(N712&lt;45000,"Under 45K",N712&lt;75000,"45K - 75K",N712&lt;100000,"75K - 100K",N712&gt;=100000,"Over 100K")</f>
        <v>Under 45K</v>
      </c>
      <c r="P712" s="2" t="s">
        <v>47</v>
      </c>
    </row>
    <row r="713" spans="1:16">
      <c r="A713" s="2" t="s">
        <v>1470</v>
      </c>
      <c r="B713" s="2" t="s">
        <v>1471</v>
      </c>
      <c r="C713" s="2" t="s">
        <v>1403</v>
      </c>
      <c r="D713" s="2" t="s">
        <v>19</v>
      </c>
      <c r="E713" s="16">
        <v>-0.59872179999999997</v>
      </c>
      <c r="F713" s="3">
        <v>5.4</v>
      </c>
      <c r="G713" s="3">
        <v>5</v>
      </c>
      <c r="H713" s="3">
        <v>0</v>
      </c>
      <c r="I713" s="3">
        <v>0</v>
      </c>
      <c r="J713" s="3">
        <v>-0.4</v>
      </c>
      <c r="K713" s="3">
        <v>-7</v>
      </c>
      <c r="L713" s="3">
        <v>57.2</v>
      </c>
      <c r="M713" s="3">
        <v>0.7</v>
      </c>
      <c r="N713" s="4">
        <v>33760</v>
      </c>
      <c r="O713" s="4" t="str" cm="1">
        <f t="array" ref="O713">_xlfn.IFS(N713&lt;45000,"Under 45K",N713&lt;75000,"45K - 75K",N713&lt;100000,"75K - 100K",N713&gt;=100000,"Over 100K")</f>
        <v>Under 45K</v>
      </c>
      <c r="P713" s="2" t="s">
        <v>165</v>
      </c>
    </row>
    <row r="714" spans="1:16">
      <c r="A714" s="2" t="s">
        <v>1472</v>
      </c>
      <c r="B714" s="2" t="s">
        <v>1473</v>
      </c>
      <c r="C714" s="2" t="s">
        <v>1403</v>
      </c>
      <c r="D714" s="2" t="s">
        <v>19</v>
      </c>
      <c r="E714" s="16">
        <v>-0.61313309999999999</v>
      </c>
      <c r="F714" s="3">
        <v>1.6</v>
      </c>
      <c r="G714" s="3">
        <v>1.2</v>
      </c>
      <c r="H714" s="3">
        <v>0</v>
      </c>
      <c r="I714" s="3">
        <v>0</v>
      </c>
      <c r="J714" s="3">
        <v>-0.4</v>
      </c>
      <c r="K714" s="3">
        <v>-24.4</v>
      </c>
      <c r="L714" s="3" t="s">
        <v>30</v>
      </c>
      <c r="M714" s="3">
        <v>0.1</v>
      </c>
      <c r="N714" s="4">
        <v>54540</v>
      </c>
      <c r="O714" s="4" t="str" cm="1">
        <f t="array" ref="O714">_xlfn.IFS(N714&lt;45000,"Under 45K",N714&lt;75000,"45K - 75K",N714&lt;100000,"75K - 100K",N714&gt;=100000,"Over 100K")</f>
        <v>45K - 75K</v>
      </c>
      <c r="P714" s="2" t="s">
        <v>47</v>
      </c>
    </row>
    <row r="715" spans="1:16">
      <c r="A715" s="2" t="s">
        <v>1474</v>
      </c>
      <c r="B715" s="2" t="s">
        <v>1475</v>
      </c>
      <c r="C715" s="2" t="s">
        <v>1403</v>
      </c>
      <c r="D715" s="2" t="s">
        <v>19</v>
      </c>
      <c r="E715" s="16">
        <v>-0.6372312</v>
      </c>
      <c r="F715" s="3">
        <v>31.9</v>
      </c>
      <c r="G715" s="3">
        <v>35.4</v>
      </c>
      <c r="H715" s="3">
        <v>0</v>
      </c>
      <c r="I715" s="3">
        <v>0</v>
      </c>
      <c r="J715" s="3">
        <v>3.5</v>
      </c>
      <c r="K715" s="3">
        <v>10.9</v>
      </c>
      <c r="L715" s="3" t="s">
        <v>30</v>
      </c>
      <c r="M715" s="3">
        <v>3.9</v>
      </c>
      <c r="N715" s="4">
        <v>51180</v>
      </c>
      <c r="O715" s="4" t="str" cm="1">
        <f t="array" ref="O715">_xlfn.IFS(N715&lt;45000,"Under 45K",N715&lt;75000,"45K - 75K",N715&lt;100000,"75K - 100K",N715&gt;=100000,"Over 100K")</f>
        <v>45K - 75K</v>
      </c>
      <c r="P715" s="2" t="s">
        <v>47</v>
      </c>
    </row>
    <row r="716" spans="1:16">
      <c r="A716" s="2" t="s">
        <v>1476</v>
      </c>
      <c r="B716" s="2" t="s">
        <v>1477</v>
      </c>
      <c r="C716" s="2" t="s">
        <v>1403</v>
      </c>
      <c r="D716" s="2" t="s">
        <v>19</v>
      </c>
      <c r="E716" s="16">
        <v>-0.63952260000000005</v>
      </c>
      <c r="F716" s="3">
        <v>8.6</v>
      </c>
      <c r="G716" s="3">
        <v>8.6</v>
      </c>
      <c r="H716" s="3">
        <v>0</v>
      </c>
      <c r="I716" s="3">
        <v>0</v>
      </c>
      <c r="J716" s="3">
        <v>-0.1</v>
      </c>
      <c r="K716" s="3">
        <v>-0.7</v>
      </c>
      <c r="L716" s="3">
        <v>3.2</v>
      </c>
      <c r="M716" s="3">
        <v>0.9</v>
      </c>
      <c r="N716" s="4">
        <v>40450</v>
      </c>
      <c r="O716" s="4" t="str" cm="1">
        <f t="array" ref="O716">_xlfn.IFS(N716&lt;45000,"Under 45K",N716&lt;75000,"45K - 75K",N716&lt;100000,"75K - 100K",N716&gt;=100000,"Over 100K")</f>
        <v>Under 45K</v>
      </c>
      <c r="P716" s="2" t="s">
        <v>47</v>
      </c>
    </row>
    <row r="717" spans="1:16">
      <c r="A717" s="2" t="s">
        <v>1478</v>
      </c>
      <c r="B717" s="2" t="s">
        <v>1479</v>
      </c>
      <c r="C717" s="2" t="s">
        <v>1403</v>
      </c>
      <c r="D717" s="2" t="s">
        <v>19</v>
      </c>
      <c r="E717" s="16">
        <v>-0.67023869999999997</v>
      </c>
      <c r="F717" s="3">
        <v>16.3</v>
      </c>
      <c r="G717" s="3">
        <v>16.600000000000001</v>
      </c>
      <c r="H717" s="3">
        <v>0</v>
      </c>
      <c r="I717" s="3">
        <v>0</v>
      </c>
      <c r="J717" s="3">
        <v>0.3</v>
      </c>
      <c r="K717" s="3">
        <v>1.6</v>
      </c>
      <c r="L717" s="3" t="s">
        <v>30</v>
      </c>
      <c r="M717" s="3">
        <v>1.6</v>
      </c>
      <c r="N717" s="4">
        <v>61710</v>
      </c>
      <c r="O717" s="4" t="str" cm="1">
        <f t="array" ref="O717">_xlfn.IFS(N717&lt;45000,"Under 45K",N717&lt;75000,"45K - 75K",N717&lt;100000,"75K - 100K",N717&gt;=100000,"Over 100K")</f>
        <v>45K - 75K</v>
      </c>
      <c r="P717" s="2" t="s">
        <v>47</v>
      </c>
    </row>
    <row r="718" spans="1:16">
      <c r="A718" s="2" t="s">
        <v>1480</v>
      </c>
      <c r="B718" s="2" t="s">
        <v>1481</v>
      </c>
      <c r="C718" s="2" t="s">
        <v>1403</v>
      </c>
      <c r="D718" s="2" t="s">
        <v>19</v>
      </c>
      <c r="E718" s="16">
        <v>-0.70938809999999997</v>
      </c>
      <c r="F718" s="3">
        <v>150.19999999999999</v>
      </c>
      <c r="G718" s="3">
        <v>138</v>
      </c>
      <c r="H718" s="3">
        <v>0.1</v>
      </c>
      <c r="I718" s="3">
        <v>0.1</v>
      </c>
      <c r="J718" s="3">
        <v>-12.2</v>
      </c>
      <c r="K718" s="3">
        <v>-8.1</v>
      </c>
      <c r="L718" s="3">
        <v>4.2</v>
      </c>
      <c r="M718" s="3">
        <v>13.7</v>
      </c>
      <c r="N718" s="4">
        <v>45160</v>
      </c>
      <c r="O718" s="4" t="str" cm="1">
        <f t="array" ref="O718">_xlfn.IFS(N718&lt;45000,"Under 45K",N718&lt;75000,"45K - 75K",N718&lt;100000,"75K - 100K",N718&gt;=100000,"Over 100K")</f>
        <v>45K - 75K</v>
      </c>
      <c r="P718" s="2" t="s">
        <v>47</v>
      </c>
    </row>
    <row r="719" spans="1:16">
      <c r="A719" s="2" t="s">
        <v>1482</v>
      </c>
      <c r="B719" s="2" t="s">
        <v>1483</v>
      </c>
      <c r="C719" s="2" t="s">
        <v>1403</v>
      </c>
      <c r="D719" s="2" t="s">
        <v>19</v>
      </c>
      <c r="E719" s="16">
        <v>-0.72213530000000004</v>
      </c>
      <c r="F719" s="3">
        <v>5.7</v>
      </c>
      <c r="G719" s="3">
        <v>5.4</v>
      </c>
      <c r="H719" s="3">
        <v>0</v>
      </c>
      <c r="I719" s="3">
        <v>0</v>
      </c>
      <c r="J719" s="3">
        <v>-0.3</v>
      </c>
      <c r="K719" s="3">
        <v>-5.4</v>
      </c>
      <c r="L719" s="3" t="s">
        <v>30</v>
      </c>
      <c r="M719" s="3">
        <v>0.5</v>
      </c>
      <c r="N719" s="4">
        <v>61870</v>
      </c>
      <c r="O719" s="4" t="str" cm="1">
        <f t="array" ref="O719">_xlfn.IFS(N719&lt;45000,"Under 45K",N719&lt;75000,"45K - 75K",N719&lt;100000,"75K - 100K",N719&gt;=100000,"Over 100K")</f>
        <v>45K - 75K</v>
      </c>
      <c r="P719" s="2" t="s">
        <v>47</v>
      </c>
    </row>
    <row r="720" spans="1:16">
      <c r="A720" s="2" t="s">
        <v>1484</v>
      </c>
      <c r="B720" s="2" t="s">
        <v>1485</v>
      </c>
      <c r="C720" s="2" t="s">
        <v>1403</v>
      </c>
      <c r="D720" s="2" t="s">
        <v>19</v>
      </c>
      <c r="E720" s="16">
        <v>-0.7278869</v>
      </c>
      <c r="F720" s="3">
        <v>0.9</v>
      </c>
      <c r="G720" s="3">
        <v>0.9</v>
      </c>
      <c r="H720" s="3">
        <v>0</v>
      </c>
      <c r="I720" s="3">
        <v>0</v>
      </c>
      <c r="J720" s="3">
        <v>0</v>
      </c>
      <c r="K720" s="3">
        <v>-4.5</v>
      </c>
      <c r="L720" s="3">
        <v>57.8</v>
      </c>
      <c r="M720" s="3">
        <v>0.1</v>
      </c>
      <c r="N720" s="4">
        <v>51850</v>
      </c>
      <c r="O720" s="4" t="str" cm="1">
        <f t="array" ref="O720">_xlfn.IFS(N720&lt;45000,"Under 45K",N720&lt;75000,"45K - 75K",N720&lt;100000,"75K - 100K",N720&gt;=100000,"Over 100K")</f>
        <v>45K - 75K</v>
      </c>
      <c r="P720" s="2" t="s">
        <v>47</v>
      </c>
    </row>
    <row r="721" spans="1:16">
      <c r="A721" s="2" t="s">
        <v>1486</v>
      </c>
      <c r="B721" s="2" t="s">
        <v>1487</v>
      </c>
      <c r="C721" s="2" t="s">
        <v>1403</v>
      </c>
      <c r="D721" s="2" t="s">
        <v>19</v>
      </c>
      <c r="E721" s="16">
        <v>-0.74219769999999996</v>
      </c>
      <c r="F721" s="3">
        <v>3.2</v>
      </c>
      <c r="G721" s="3">
        <v>2.6</v>
      </c>
      <c r="H721" s="3">
        <v>0</v>
      </c>
      <c r="I721" s="3">
        <v>0</v>
      </c>
      <c r="J721" s="3">
        <v>-0.6</v>
      </c>
      <c r="K721" s="3">
        <v>-18.2</v>
      </c>
      <c r="L721" s="3" t="s">
        <v>30</v>
      </c>
      <c r="M721" s="3">
        <v>0.3</v>
      </c>
      <c r="N721" s="4">
        <v>62700</v>
      </c>
      <c r="O721" s="4" t="str" cm="1">
        <f t="array" ref="O721">_xlfn.IFS(N721&lt;45000,"Under 45K",N721&lt;75000,"45K - 75K",N721&lt;100000,"75K - 100K",N721&gt;=100000,"Over 100K")</f>
        <v>45K - 75K</v>
      </c>
      <c r="P721" s="2" t="s">
        <v>47</v>
      </c>
    </row>
    <row r="722" spans="1:16">
      <c r="A722" s="2" t="s">
        <v>1488</v>
      </c>
      <c r="B722" s="2" t="s">
        <v>1489</v>
      </c>
      <c r="C722" s="2" t="s">
        <v>1403</v>
      </c>
      <c r="D722" s="2" t="s">
        <v>19</v>
      </c>
      <c r="E722" s="16">
        <v>-0.74265999999999999</v>
      </c>
      <c r="F722" s="3">
        <v>131</v>
      </c>
      <c r="G722" s="3">
        <v>130.30000000000001</v>
      </c>
      <c r="H722" s="3">
        <v>0.1</v>
      </c>
      <c r="I722" s="3">
        <v>0.1</v>
      </c>
      <c r="J722" s="3">
        <v>-0.7</v>
      </c>
      <c r="K722" s="3">
        <v>-0.5</v>
      </c>
      <c r="L722" s="3">
        <v>1.1000000000000001</v>
      </c>
      <c r="M722" s="3">
        <v>12.8</v>
      </c>
      <c r="N722" s="4">
        <v>46060</v>
      </c>
      <c r="O722" s="4" t="str" cm="1">
        <f t="array" ref="O722">_xlfn.IFS(N722&lt;45000,"Under 45K",N722&lt;75000,"45K - 75K",N722&lt;100000,"75K - 100K",N722&gt;=100000,"Over 100K")</f>
        <v>45K - 75K</v>
      </c>
      <c r="P722" s="2" t="s">
        <v>47</v>
      </c>
    </row>
    <row r="723" spans="1:16">
      <c r="A723" s="2" t="s">
        <v>1490</v>
      </c>
      <c r="B723" s="2" t="s">
        <v>1491</v>
      </c>
      <c r="C723" s="2" t="s">
        <v>1403</v>
      </c>
      <c r="D723" s="2" t="s">
        <v>19</v>
      </c>
      <c r="E723" s="16">
        <v>-0.75885899999999995</v>
      </c>
      <c r="F723" s="3">
        <v>20.7</v>
      </c>
      <c r="G723" s="3">
        <v>20.8</v>
      </c>
      <c r="H723" s="3">
        <v>0</v>
      </c>
      <c r="I723" s="3">
        <v>0</v>
      </c>
      <c r="J723" s="3">
        <v>0.1</v>
      </c>
      <c r="K723" s="3">
        <v>0.6</v>
      </c>
      <c r="L723" s="3">
        <v>8.8000000000000007</v>
      </c>
      <c r="M723" s="3">
        <v>2.4</v>
      </c>
      <c r="N723" s="4">
        <v>42730</v>
      </c>
      <c r="O723" s="4" t="str" cm="1">
        <f t="array" ref="O723">_xlfn.IFS(N723&lt;45000,"Under 45K",N723&lt;75000,"45K - 75K",N723&lt;100000,"75K - 100K",N723&gt;=100000,"Over 100K")</f>
        <v>Under 45K</v>
      </c>
      <c r="P723" s="2" t="s">
        <v>165</v>
      </c>
    </row>
    <row r="724" spans="1:16">
      <c r="A724" s="2" t="s">
        <v>1492</v>
      </c>
      <c r="B724" s="2" t="s">
        <v>1493</v>
      </c>
      <c r="C724" s="2" t="s">
        <v>1403</v>
      </c>
      <c r="D724" s="2" t="s">
        <v>19</v>
      </c>
      <c r="E724" s="16">
        <v>-0.75981319999999997</v>
      </c>
      <c r="F724" s="3">
        <v>5.3</v>
      </c>
      <c r="G724" s="3">
        <v>4.3</v>
      </c>
      <c r="H724" s="3">
        <v>0</v>
      </c>
      <c r="I724" s="3">
        <v>0</v>
      </c>
      <c r="J724" s="3">
        <v>-1</v>
      </c>
      <c r="K724" s="3">
        <v>-19.600000000000001</v>
      </c>
      <c r="L724" s="3" t="s">
        <v>30</v>
      </c>
      <c r="M724" s="3">
        <v>0.4</v>
      </c>
      <c r="N724" s="4">
        <v>46630</v>
      </c>
      <c r="O724" s="4" t="str" cm="1">
        <f t="array" ref="O724">_xlfn.IFS(N724&lt;45000,"Under 45K",N724&lt;75000,"45K - 75K",N724&lt;100000,"75K - 100K",N724&gt;=100000,"Over 100K")</f>
        <v>45K - 75K</v>
      </c>
      <c r="P724" s="2" t="s">
        <v>47</v>
      </c>
    </row>
    <row r="725" spans="1:16">
      <c r="A725" s="2" t="s">
        <v>1494</v>
      </c>
      <c r="B725" s="2" t="s">
        <v>1495</v>
      </c>
      <c r="C725" s="2" t="s">
        <v>1403</v>
      </c>
      <c r="D725" s="2" t="s">
        <v>19</v>
      </c>
      <c r="E725" s="16">
        <v>-0.80466769999999999</v>
      </c>
      <c r="F725" s="3">
        <v>8.8000000000000007</v>
      </c>
      <c r="G725" s="3">
        <v>7.2</v>
      </c>
      <c r="H725" s="3">
        <v>0</v>
      </c>
      <c r="I725" s="3">
        <v>0</v>
      </c>
      <c r="J725" s="3">
        <v>-1.7</v>
      </c>
      <c r="K725" s="3">
        <v>-18.899999999999999</v>
      </c>
      <c r="L725" s="3" t="s">
        <v>30</v>
      </c>
      <c r="M725" s="3">
        <v>0.6</v>
      </c>
      <c r="N725" s="4">
        <v>49240</v>
      </c>
      <c r="O725" s="4" t="str" cm="1">
        <f t="array" ref="O725">_xlfn.IFS(N725&lt;45000,"Under 45K",N725&lt;75000,"45K - 75K",N725&lt;100000,"75K - 100K",N725&gt;=100000,"Over 100K")</f>
        <v>45K - 75K</v>
      </c>
      <c r="P725" s="2" t="s">
        <v>47</v>
      </c>
    </row>
    <row r="726" spans="1:16">
      <c r="A726" s="2" t="s">
        <v>1496</v>
      </c>
      <c r="B726" s="2" t="s">
        <v>1497</v>
      </c>
      <c r="C726" s="2" t="s">
        <v>1403</v>
      </c>
      <c r="D726" s="2" t="s">
        <v>19</v>
      </c>
      <c r="E726" s="16">
        <v>-0.81966399999999995</v>
      </c>
      <c r="F726" s="3">
        <v>101.1</v>
      </c>
      <c r="G726" s="3">
        <v>94.3</v>
      </c>
      <c r="H726" s="3">
        <v>0.1</v>
      </c>
      <c r="I726" s="3">
        <v>0.1</v>
      </c>
      <c r="J726" s="3">
        <v>-6.8</v>
      </c>
      <c r="K726" s="3">
        <v>-6.8</v>
      </c>
      <c r="L726" s="3" t="s">
        <v>30</v>
      </c>
      <c r="M726" s="3">
        <v>8.8000000000000007</v>
      </c>
      <c r="N726" s="4">
        <v>47680</v>
      </c>
      <c r="O726" s="4" t="str" cm="1">
        <f t="array" ref="O726">_xlfn.IFS(N726&lt;45000,"Under 45K",N726&lt;75000,"45K - 75K",N726&lt;100000,"75K - 100K",N726&gt;=100000,"Over 100K")</f>
        <v>45K - 75K</v>
      </c>
      <c r="P726" s="2" t="s">
        <v>47</v>
      </c>
    </row>
    <row r="727" spans="1:16">
      <c r="A727" s="2" t="s">
        <v>1498</v>
      </c>
      <c r="B727" s="2" t="s">
        <v>1499</v>
      </c>
      <c r="C727" s="2" t="s">
        <v>1403</v>
      </c>
      <c r="D727" s="2" t="s">
        <v>19</v>
      </c>
      <c r="E727" s="16">
        <v>-0.82897220000000005</v>
      </c>
      <c r="F727" s="3">
        <v>12.2</v>
      </c>
      <c r="G727" s="3">
        <v>11.5</v>
      </c>
      <c r="H727" s="3">
        <v>0</v>
      </c>
      <c r="I727" s="3">
        <v>0</v>
      </c>
      <c r="J727" s="3">
        <v>-0.8</v>
      </c>
      <c r="K727" s="3">
        <v>-6.3</v>
      </c>
      <c r="L727" s="3" t="s">
        <v>30</v>
      </c>
      <c r="M727" s="3">
        <v>1.2</v>
      </c>
      <c r="N727" s="4">
        <v>47260</v>
      </c>
      <c r="O727" s="4" t="str" cm="1">
        <f t="array" ref="O727">_xlfn.IFS(N727&lt;45000,"Under 45K",N727&lt;75000,"45K - 75K",N727&lt;100000,"75K - 100K",N727&gt;=100000,"Over 100K")</f>
        <v>45K - 75K</v>
      </c>
      <c r="P727" s="2" t="s">
        <v>47</v>
      </c>
    </row>
    <row r="728" spans="1:16">
      <c r="A728" s="2" t="s">
        <v>1500</v>
      </c>
      <c r="B728" s="2" t="s">
        <v>1501</v>
      </c>
      <c r="C728" s="2" t="s">
        <v>1403</v>
      </c>
      <c r="D728" s="2" t="s">
        <v>19</v>
      </c>
      <c r="E728" s="16">
        <v>-0.85969249999999997</v>
      </c>
      <c r="F728" s="3">
        <v>15.2</v>
      </c>
      <c r="G728" s="3">
        <v>15</v>
      </c>
      <c r="H728" s="3">
        <v>0</v>
      </c>
      <c r="I728" s="3">
        <v>0</v>
      </c>
      <c r="J728" s="3">
        <v>-0.2</v>
      </c>
      <c r="K728" s="3">
        <v>-1.1000000000000001</v>
      </c>
      <c r="L728" s="3" t="s">
        <v>30</v>
      </c>
      <c r="M728" s="3">
        <v>2</v>
      </c>
      <c r="N728" s="4">
        <v>44980</v>
      </c>
      <c r="O728" s="4" t="str" cm="1">
        <f t="array" ref="O728">_xlfn.IFS(N728&lt;45000,"Under 45K",N728&lt;75000,"45K - 75K",N728&lt;100000,"75K - 100K",N728&gt;=100000,"Over 100K")</f>
        <v>Under 45K</v>
      </c>
      <c r="P728" s="2" t="s">
        <v>47</v>
      </c>
    </row>
    <row r="729" spans="1:16">
      <c r="A729" s="2" t="s">
        <v>1502</v>
      </c>
      <c r="B729" s="2" t="s">
        <v>1503</v>
      </c>
      <c r="C729" s="2" t="s">
        <v>1403</v>
      </c>
      <c r="D729" s="2" t="s">
        <v>19</v>
      </c>
      <c r="E729" s="16">
        <v>-0.86093120000000001</v>
      </c>
      <c r="F729" s="3">
        <v>6.2</v>
      </c>
      <c r="G729" s="3">
        <v>5.5</v>
      </c>
      <c r="H729" s="3">
        <v>0</v>
      </c>
      <c r="I729" s="3">
        <v>0</v>
      </c>
      <c r="J729" s="3">
        <v>-0.6</v>
      </c>
      <c r="K729" s="3">
        <v>-10.1</v>
      </c>
      <c r="L729" s="3">
        <v>2.4</v>
      </c>
      <c r="M729" s="3">
        <v>0.7</v>
      </c>
      <c r="N729" s="4">
        <v>37320</v>
      </c>
      <c r="O729" s="4" t="str" cm="1">
        <f t="array" ref="O729">_xlfn.IFS(N729&lt;45000,"Under 45K",N729&lt;75000,"45K - 75K",N729&lt;100000,"75K - 100K",N729&gt;=100000,"Over 100K")</f>
        <v>Under 45K</v>
      </c>
      <c r="P729" s="2" t="s">
        <v>47</v>
      </c>
    </row>
    <row r="730" spans="1:16">
      <c r="A730" s="2" t="s">
        <v>1504</v>
      </c>
      <c r="B730" s="2" t="s">
        <v>1505</v>
      </c>
      <c r="C730" s="2" t="s">
        <v>1403</v>
      </c>
      <c r="D730" s="2" t="s">
        <v>19</v>
      </c>
      <c r="E730" s="16">
        <v>-0.86755349999999998</v>
      </c>
      <c r="F730" s="3">
        <v>299.5</v>
      </c>
      <c r="G730" s="3">
        <v>299.60000000000002</v>
      </c>
      <c r="H730" s="3">
        <v>0.2</v>
      </c>
      <c r="I730" s="3">
        <v>0.2</v>
      </c>
      <c r="J730" s="3">
        <v>0</v>
      </c>
      <c r="K730" s="3">
        <v>0</v>
      </c>
      <c r="L730" s="3">
        <v>0.3</v>
      </c>
      <c r="M730" s="3">
        <v>29.5</v>
      </c>
      <c r="N730" s="4">
        <v>56150</v>
      </c>
      <c r="O730" s="4" t="str" cm="1">
        <f t="array" ref="O730">_xlfn.IFS(N730&lt;45000,"Under 45K",N730&lt;75000,"45K - 75K",N730&lt;100000,"75K - 100K",N730&gt;=100000,"Over 100K")</f>
        <v>45K - 75K</v>
      </c>
      <c r="P730" s="2" t="s">
        <v>47</v>
      </c>
    </row>
    <row r="731" spans="1:16">
      <c r="A731" s="2" t="s">
        <v>1506</v>
      </c>
      <c r="B731" s="2" t="s">
        <v>1507</v>
      </c>
      <c r="C731" s="2" t="s">
        <v>1403</v>
      </c>
      <c r="D731" s="2" t="s">
        <v>19</v>
      </c>
      <c r="E731" s="16">
        <v>-0.86847059999999998</v>
      </c>
      <c r="F731" s="3">
        <v>33.6</v>
      </c>
      <c r="G731" s="3">
        <v>28.7</v>
      </c>
      <c r="H731" s="3">
        <v>0</v>
      </c>
      <c r="I731" s="3">
        <v>0</v>
      </c>
      <c r="J731" s="3">
        <v>-4.9000000000000004</v>
      </c>
      <c r="K731" s="3">
        <v>-14.5</v>
      </c>
      <c r="L731" s="3">
        <v>0.7</v>
      </c>
      <c r="M731" s="3">
        <v>2.8</v>
      </c>
      <c r="N731" s="4">
        <v>61680</v>
      </c>
      <c r="O731" s="4" t="str" cm="1">
        <f t="array" ref="O731">_xlfn.IFS(N731&lt;45000,"Under 45K",N731&lt;75000,"45K - 75K",N731&lt;100000,"75K - 100K",N731&gt;=100000,"Over 100K")</f>
        <v>45K - 75K</v>
      </c>
      <c r="P731" s="2" t="s">
        <v>47</v>
      </c>
    </row>
    <row r="732" spans="1:16">
      <c r="A732" s="2" t="s">
        <v>1508</v>
      </c>
      <c r="B732" s="2" t="s">
        <v>1509</v>
      </c>
      <c r="C732" s="2" t="s">
        <v>1403</v>
      </c>
      <c r="D732" s="2" t="s">
        <v>19</v>
      </c>
      <c r="E732" s="16">
        <v>-0.87032189999999998</v>
      </c>
      <c r="F732" s="3">
        <v>13.8</v>
      </c>
      <c r="G732" s="3">
        <v>11.8</v>
      </c>
      <c r="H732" s="3">
        <v>0</v>
      </c>
      <c r="I732" s="3">
        <v>0</v>
      </c>
      <c r="J732" s="3">
        <v>-2</v>
      </c>
      <c r="K732" s="3">
        <v>-14.4</v>
      </c>
      <c r="L732" s="3" t="s">
        <v>30</v>
      </c>
      <c r="M732" s="3">
        <v>1.1000000000000001</v>
      </c>
      <c r="N732" s="4">
        <v>48310</v>
      </c>
      <c r="O732" s="4" t="str" cm="1">
        <f t="array" ref="O732">_xlfn.IFS(N732&lt;45000,"Under 45K",N732&lt;75000,"45K - 75K",N732&lt;100000,"75K - 100K",N732&gt;=100000,"Over 100K")</f>
        <v>45K - 75K</v>
      </c>
      <c r="P732" s="2" t="s">
        <v>47</v>
      </c>
    </row>
    <row r="733" spans="1:16">
      <c r="A733" s="2" t="s">
        <v>1510</v>
      </c>
      <c r="B733" s="2" t="s">
        <v>1511</v>
      </c>
      <c r="C733" s="2" t="s">
        <v>1403</v>
      </c>
      <c r="D733" s="2" t="s">
        <v>19</v>
      </c>
      <c r="E733" s="16">
        <v>-0.8740445</v>
      </c>
      <c r="F733" s="3">
        <v>97.5</v>
      </c>
      <c r="G733" s="3">
        <v>91.4</v>
      </c>
      <c r="H733" s="3">
        <v>0.1</v>
      </c>
      <c r="I733" s="3">
        <v>0.1</v>
      </c>
      <c r="J733" s="3">
        <v>-6.1</v>
      </c>
      <c r="K733" s="3">
        <v>-6.3</v>
      </c>
      <c r="L733" s="3">
        <v>1.2</v>
      </c>
      <c r="M733" s="3">
        <v>8.1</v>
      </c>
      <c r="N733" s="4">
        <v>49390</v>
      </c>
      <c r="O733" s="4" t="str" cm="1">
        <f t="array" ref="O733">_xlfn.IFS(N733&lt;45000,"Under 45K",N733&lt;75000,"45K - 75K",N733&lt;100000,"75K - 100K",N733&gt;=100000,"Over 100K")</f>
        <v>45K - 75K</v>
      </c>
      <c r="P733" s="2" t="s">
        <v>47</v>
      </c>
    </row>
    <row r="734" spans="1:16">
      <c r="A734" s="2" t="s">
        <v>1512</v>
      </c>
      <c r="B734" s="2" t="s">
        <v>1513</v>
      </c>
      <c r="C734" s="2" t="s">
        <v>1403</v>
      </c>
      <c r="D734" s="2" t="s">
        <v>19</v>
      </c>
      <c r="E734" s="16">
        <v>-0.88092380000000003</v>
      </c>
      <c r="F734" s="3">
        <v>5.8</v>
      </c>
      <c r="G734" s="3">
        <v>5.4</v>
      </c>
      <c r="H734" s="3">
        <v>0</v>
      </c>
      <c r="I734" s="3">
        <v>0</v>
      </c>
      <c r="J734" s="3">
        <v>-0.5</v>
      </c>
      <c r="K734" s="3">
        <v>-7.8</v>
      </c>
      <c r="L734" s="3">
        <v>1</v>
      </c>
      <c r="M734" s="3">
        <v>0.5</v>
      </c>
      <c r="N734" s="4">
        <v>48970</v>
      </c>
      <c r="O734" s="4" t="str" cm="1">
        <f t="array" ref="O734">_xlfn.IFS(N734&lt;45000,"Under 45K",N734&lt;75000,"45K - 75K",N734&lt;100000,"75K - 100K",N734&gt;=100000,"Over 100K")</f>
        <v>45K - 75K</v>
      </c>
      <c r="P734" s="2" t="s">
        <v>47</v>
      </c>
    </row>
    <row r="735" spans="1:16">
      <c r="A735" s="2" t="s">
        <v>1514</v>
      </c>
      <c r="B735" s="2" t="s">
        <v>1515</v>
      </c>
      <c r="C735" s="2" t="s">
        <v>1403</v>
      </c>
      <c r="D735" s="2" t="s">
        <v>19</v>
      </c>
      <c r="E735" s="16">
        <v>-0.8999876</v>
      </c>
      <c r="F735" s="3">
        <v>31.7</v>
      </c>
      <c r="G735" s="3">
        <v>27.4</v>
      </c>
      <c r="H735" s="3">
        <v>0</v>
      </c>
      <c r="I735" s="3">
        <v>0</v>
      </c>
      <c r="J735" s="3">
        <v>-4.3</v>
      </c>
      <c r="K735" s="3">
        <v>-13.6</v>
      </c>
      <c r="L735" s="3">
        <v>1</v>
      </c>
      <c r="M735" s="3">
        <v>2.5</v>
      </c>
      <c r="N735" s="4">
        <v>41600</v>
      </c>
      <c r="O735" s="4" t="str" cm="1">
        <f t="array" ref="O735">_xlfn.IFS(N735&lt;45000,"Under 45K",N735&lt;75000,"45K - 75K",N735&lt;100000,"75K - 100K",N735&gt;=100000,"Over 100K")</f>
        <v>Under 45K</v>
      </c>
      <c r="P735" s="2" t="s">
        <v>47</v>
      </c>
    </row>
    <row r="736" spans="1:16">
      <c r="A736" s="2" t="s">
        <v>1516</v>
      </c>
      <c r="B736" s="2" t="s">
        <v>1517</v>
      </c>
      <c r="C736" s="2" t="s">
        <v>1403</v>
      </c>
      <c r="D736" s="2" t="s">
        <v>19</v>
      </c>
      <c r="E736" s="16">
        <v>-0.90620889999999998</v>
      </c>
      <c r="F736" s="3">
        <v>35.799999999999997</v>
      </c>
      <c r="G736" s="3">
        <v>30</v>
      </c>
      <c r="H736" s="3">
        <v>0</v>
      </c>
      <c r="I736" s="3">
        <v>0</v>
      </c>
      <c r="J736" s="3">
        <v>-5.8</v>
      </c>
      <c r="K736" s="3">
        <v>-16.100000000000001</v>
      </c>
      <c r="L736" s="3" t="s">
        <v>30</v>
      </c>
      <c r="M736" s="3">
        <v>2.8</v>
      </c>
      <c r="N736" s="4">
        <v>39820</v>
      </c>
      <c r="O736" s="4" t="str" cm="1">
        <f t="array" ref="O736">_xlfn.IFS(N736&lt;45000,"Under 45K",N736&lt;75000,"45K - 75K",N736&lt;100000,"75K - 100K",N736&gt;=100000,"Over 100K")</f>
        <v>Under 45K</v>
      </c>
      <c r="P736" s="2" t="s">
        <v>47</v>
      </c>
    </row>
    <row r="737" spans="1:16">
      <c r="A737" s="2" t="s">
        <v>1518</v>
      </c>
      <c r="B737" s="2" t="s">
        <v>1519</v>
      </c>
      <c r="C737" s="2" t="s">
        <v>1403</v>
      </c>
      <c r="D737" s="2" t="s">
        <v>19</v>
      </c>
      <c r="E737" s="16">
        <v>-0.93791409999999997</v>
      </c>
      <c r="F737" s="3">
        <v>54.4</v>
      </c>
      <c r="G737" s="3">
        <v>52</v>
      </c>
      <c r="H737" s="3">
        <v>0</v>
      </c>
      <c r="I737" s="3">
        <v>0</v>
      </c>
      <c r="J737" s="3">
        <v>-2.2999999999999998</v>
      </c>
      <c r="K737" s="3">
        <v>-4.3</v>
      </c>
      <c r="L737" s="3">
        <v>0.4</v>
      </c>
      <c r="M737" s="3">
        <v>5.4</v>
      </c>
      <c r="N737" s="4">
        <v>49500</v>
      </c>
      <c r="O737" s="4" t="str" cm="1">
        <f t="array" ref="O737">_xlfn.IFS(N737&lt;45000,"Under 45K",N737&lt;75000,"45K - 75K",N737&lt;100000,"75K - 100K",N737&gt;=100000,"Over 100K")</f>
        <v>45K - 75K</v>
      </c>
      <c r="P737" s="2" t="s">
        <v>47</v>
      </c>
    </row>
    <row r="738" spans="1:16">
      <c r="A738" s="2" t="s">
        <v>1520</v>
      </c>
      <c r="B738" s="2" t="s">
        <v>1521</v>
      </c>
      <c r="C738" s="2" t="s">
        <v>1403</v>
      </c>
      <c r="D738" s="2" t="s">
        <v>19</v>
      </c>
      <c r="E738" s="16">
        <v>-0.94798389999999999</v>
      </c>
      <c r="F738" s="3">
        <v>7</v>
      </c>
      <c r="G738" s="3">
        <v>5.7</v>
      </c>
      <c r="H738" s="3">
        <v>0</v>
      </c>
      <c r="I738" s="3">
        <v>0</v>
      </c>
      <c r="J738" s="3">
        <v>-1.3</v>
      </c>
      <c r="K738" s="3">
        <v>-18.100000000000001</v>
      </c>
      <c r="L738" s="3">
        <v>3.4</v>
      </c>
      <c r="M738" s="3">
        <v>0.6</v>
      </c>
      <c r="N738" s="4">
        <v>38800</v>
      </c>
      <c r="O738" s="4" t="str" cm="1">
        <f t="array" ref="O738">_xlfn.IFS(N738&lt;45000,"Under 45K",N738&lt;75000,"45K - 75K",N738&lt;100000,"75K - 100K",N738&gt;=100000,"Over 100K")</f>
        <v>Under 45K</v>
      </c>
      <c r="P738" s="2" t="s">
        <v>165</v>
      </c>
    </row>
    <row r="739" spans="1:16">
      <c r="A739" s="2" t="s">
        <v>1522</v>
      </c>
      <c r="B739" s="2" t="s">
        <v>1523</v>
      </c>
      <c r="C739" s="2" t="s">
        <v>1403</v>
      </c>
      <c r="D739" s="2" t="s">
        <v>19</v>
      </c>
      <c r="E739" s="16">
        <v>-0.95614529999999998</v>
      </c>
      <c r="F739" s="3">
        <v>38.4</v>
      </c>
      <c r="G739" s="3">
        <v>30.3</v>
      </c>
      <c r="H739" s="3">
        <v>0</v>
      </c>
      <c r="I739" s="3">
        <v>0</v>
      </c>
      <c r="J739" s="3">
        <v>-8.1</v>
      </c>
      <c r="K739" s="3">
        <v>-21.1</v>
      </c>
      <c r="L739" s="3" t="s">
        <v>30</v>
      </c>
      <c r="M739" s="3">
        <v>2.8</v>
      </c>
      <c r="N739" s="4">
        <v>52540</v>
      </c>
      <c r="O739" s="4" t="str" cm="1">
        <f t="array" ref="O739">_xlfn.IFS(N739&lt;45000,"Under 45K",N739&lt;75000,"45K - 75K",N739&lt;100000,"75K - 100K",N739&gt;=100000,"Over 100K")</f>
        <v>45K - 75K</v>
      </c>
      <c r="P739" s="2" t="s">
        <v>47</v>
      </c>
    </row>
    <row r="740" spans="1:16">
      <c r="A740" s="2" t="s">
        <v>1524</v>
      </c>
      <c r="B740" s="2" t="s">
        <v>1525</v>
      </c>
      <c r="C740" s="2" t="s">
        <v>1403</v>
      </c>
      <c r="D740" s="2" t="s">
        <v>19</v>
      </c>
      <c r="E740" s="16">
        <v>-0.95823460000000005</v>
      </c>
      <c r="F740" s="3">
        <v>16.5</v>
      </c>
      <c r="G740" s="3">
        <v>17</v>
      </c>
      <c r="H740" s="3">
        <v>0</v>
      </c>
      <c r="I740" s="3">
        <v>0</v>
      </c>
      <c r="J740" s="3">
        <v>0.5</v>
      </c>
      <c r="K740" s="3">
        <v>3</v>
      </c>
      <c r="L740" s="3">
        <v>1.5</v>
      </c>
      <c r="M740" s="3">
        <v>1.9</v>
      </c>
      <c r="N740" s="4">
        <v>47010</v>
      </c>
      <c r="O740" s="4" t="str" cm="1">
        <f t="array" ref="O740">_xlfn.IFS(N740&lt;45000,"Under 45K",N740&lt;75000,"45K - 75K",N740&lt;100000,"75K - 100K",N740&gt;=100000,"Over 100K")</f>
        <v>45K - 75K</v>
      </c>
      <c r="P740" s="2" t="s">
        <v>47</v>
      </c>
    </row>
    <row r="741" spans="1:16">
      <c r="A741" s="2" t="s">
        <v>1526</v>
      </c>
      <c r="B741" s="2" t="s">
        <v>1527</v>
      </c>
      <c r="C741" s="2" t="s">
        <v>1403</v>
      </c>
      <c r="D741" s="2" t="s">
        <v>19</v>
      </c>
      <c r="E741" s="16">
        <v>-0.96049519999999999</v>
      </c>
      <c r="F741" s="3">
        <v>7.1</v>
      </c>
      <c r="G741" s="3">
        <v>7.6</v>
      </c>
      <c r="H741" s="3">
        <v>0</v>
      </c>
      <c r="I741" s="3">
        <v>0</v>
      </c>
      <c r="J741" s="3">
        <v>0.5</v>
      </c>
      <c r="K741" s="3">
        <v>7.2</v>
      </c>
      <c r="L741" s="3">
        <v>3.7</v>
      </c>
      <c r="M741" s="3">
        <v>0.8</v>
      </c>
      <c r="N741" s="4">
        <v>40160</v>
      </c>
      <c r="O741" s="4" t="str" cm="1">
        <f t="array" ref="O741">_xlfn.IFS(N741&lt;45000,"Under 45K",N741&lt;75000,"45K - 75K",N741&lt;100000,"75K - 100K",N741&gt;=100000,"Over 100K")</f>
        <v>Under 45K</v>
      </c>
      <c r="P741" s="2" t="s">
        <v>47</v>
      </c>
    </row>
    <row r="742" spans="1:16">
      <c r="A742" s="2" t="s">
        <v>1528</v>
      </c>
      <c r="B742" s="2" t="s">
        <v>1529</v>
      </c>
      <c r="C742" s="2" t="s">
        <v>1403</v>
      </c>
      <c r="D742" s="2" t="s">
        <v>19</v>
      </c>
      <c r="E742" s="16">
        <v>-0.96396610000000005</v>
      </c>
      <c r="F742" s="3">
        <v>124</v>
      </c>
      <c r="G742" s="3">
        <v>110.7</v>
      </c>
      <c r="H742" s="3">
        <v>0.1</v>
      </c>
      <c r="I742" s="3">
        <v>0.1</v>
      </c>
      <c r="J742" s="3">
        <v>-13.3</v>
      </c>
      <c r="K742" s="3">
        <v>-10.8</v>
      </c>
      <c r="L742" s="3">
        <v>11.2</v>
      </c>
      <c r="M742" s="3">
        <v>13</v>
      </c>
      <c r="N742" s="4">
        <v>36000</v>
      </c>
      <c r="O742" s="4" t="str" cm="1">
        <f t="array" ref="O742">_xlfn.IFS(N742&lt;45000,"Under 45K",N742&lt;75000,"45K - 75K",N742&lt;100000,"75K - 100K",N742&gt;=100000,"Over 100K")</f>
        <v>Under 45K</v>
      </c>
      <c r="P742" s="2" t="s">
        <v>165</v>
      </c>
    </row>
    <row r="743" spans="1:16">
      <c r="A743" s="2" t="s">
        <v>1530</v>
      </c>
      <c r="B743" s="2" t="s">
        <v>1531</v>
      </c>
      <c r="C743" s="2" t="s">
        <v>1403</v>
      </c>
      <c r="D743" s="2" t="s">
        <v>19</v>
      </c>
      <c r="E743" s="16">
        <v>-0.9705587</v>
      </c>
      <c r="F743" s="3">
        <v>8.8000000000000007</v>
      </c>
      <c r="G743" s="3">
        <v>8.9</v>
      </c>
      <c r="H743" s="3">
        <v>0</v>
      </c>
      <c r="I743" s="3">
        <v>0</v>
      </c>
      <c r="J743" s="3">
        <v>0.1</v>
      </c>
      <c r="K743" s="3">
        <v>1.4</v>
      </c>
      <c r="L743" s="3">
        <v>3.5</v>
      </c>
      <c r="M743" s="3">
        <v>0.8</v>
      </c>
      <c r="N743" s="4">
        <v>40860</v>
      </c>
      <c r="O743" s="4" t="str" cm="1">
        <f t="array" ref="O743">_xlfn.IFS(N743&lt;45000,"Under 45K",N743&lt;75000,"45K - 75K",N743&lt;100000,"75K - 100K",N743&gt;=100000,"Over 100K")</f>
        <v>Under 45K</v>
      </c>
      <c r="P743" s="2" t="s">
        <v>165</v>
      </c>
    </row>
    <row r="744" spans="1:16">
      <c r="A744" s="2" t="s">
        <v>1532</v>
      </c>
      <c r="B744" s="2" t="s">
        <v>1533</v>
      </c>
      <c r="C744" s="2" t="s">
        <v>1403</v>
      </c>
      <c r="D744" s="2" t="s">
        <v>19</v>
      </c>
      <c r="E744" s="16">
        <v>-0.97099239999999998</v>
      </c>
      <c r="F744" s="3">
        <v>143.1</v>
      </c>
      <c r="G744" s="3">
        <v>144.5</v>
      </c>
      <c r="H744" s="3">
        <v>0.1</v>
      </c>
      <c r="I744" s="3">
        <v>0.1</v>
      </c>
      <c r="J744" s="3">
        <v>1.4</v>
      </c>
      <c r="K744" s="3">
        <v>1</v>
      </c>
      <c r="L744" s="3">
        <v>1.8</v>
      </c>
      <c r="M744" s="3">
        <v>16.899999999999999</v>
      </c>
      <c r="N744" s="4">
        <v>38960</v>
      </c>
      <c r="O744" s="4" t="str" cm="1">
        <f t="array" ref="O744">_xlfn.IFS(N744&lt;45000,"Under 45K",N744&lt;75000,"45K - 75K",N744&lt;100000,"75K - 100K",N744&gt;=100000,"Over 100K")</f>
        <v>Under 45K</v>
      </c>
      <c r="P744" s="2" t="s">
        <v>165</v>
      </c>
    </row>
    <row r="745" spans="1:16">
      <c r="A745" s="2" t="s">
        <v>1534</v>
      </c>
      <c r="B745" s="2" t="s">
        <v>1535</v>
      </c>
      <c r="C745" s="2" t="s">
        <v>1403</v>
      </c>
      <c r="D745" s="2" t="s">
        <v>19</v>
      </c>
      <c r="E745" s="16">
        <v>-0.97860800000000003</v>
      </c>
      <c r="F745" s="3">
        <v>381.2</v>
      </c>
      <c r="G745" s="3">
        <v>398.2</v>
      </c>
      <c r="H745" s="3">
        <v>0.2</v>
      </c>
      <c r="I745" s="3">
        <v>0.2</v>
      </c>
      <c r="J745" s="3">
        <v>17</v>
      </c>
      <c r="K745" s="3">
        <v>4.5</v>
      </c>
      <c r="L745" s="3" t="s">
        <v>30</v>
      </c>
      <c r="M745" s="3">
        <v>45.3</v>
      </c>
      <c r="N745" s="4">
        <v>40900</v>
      </c>
      <c r="O745" s="4" t="str" cm="1">
        <f t="array" ref="O745">_xlfn.IFS(N745&lt;45000,"Under 45K",N745&lt;75000,"45K - 75K",N745&lt;100000,"75K - 100K",N745&gt;=100000,"Over 100K")</f>
        <v>Under 45K</v>
      </c>
      <c r="P745" s="2" t="s">
        <v>47</v>
      </c>
    </row>
    <row r="746" spans="1:16">
      <c r="A746" s="2" t="s">
        <v>1536</v>
      </c>
      <c r="B746" s="2" t="s">
        <v>1537</v>
      </c>
      <c r="C746" s="2" t="s">
        <v>1403</v>
      </c>
      <c r="D746" s="2" t="s">
        <v>19</v>
      </c>
      <c r="E746" s="16">
        <v>-0.9901662</v>
      </c>
      <c r="F746" s="3">
        <v>70.099999999999994</v>
      </c>
      <c r="G746" s="3">
        <v>61.7</v>
      </c>
      <c r="H746" s="3">
        <v>0</v>
      </c>
      <c r="I746" s="3">
        <v>0</v>
      </c>
      <c r="J746" s="3">
        <v>-8.4</v>
      </c>
      <c r="K746" s="3">
        <v>-12</v>
      </c>
      <c r="L746" s="3" t="s">
        <v>30</v>
      </c>
      <c r="M746" s="3">
        <v>5.5</v>
      </c>
      <c r="N746" s="4">
        <v>45190</v>
      </c>
      <c r="O746" s="4" t="str" cm="1">
        <f t="array" ref="O746">_xlfn.IFS(N746&lt;45000,"Under 45K",N746&lt;75000,"45K - 75K",N746&lt;100000,"75K - 100K",N746&gt;=100000,"Over 100K")</f>
        <v>45K - 75K</v>
      </c>
      <c r="P746" s="2" t="s">
        <v>47</v>
      </c>
    </row>
    <row r="747" spans="1:16">
      <c r="A747" s="2" t="s">
        <v>1538</v>
      </c>
      <c r="B747" s="2" t="s">
        <v>1539</v>
      </c>
      <c r="C747" s="2" t="s">
        <v>1403</v>
      </c>
      <c r="D747" s="2" t="s">
        <v>19</v>
      </c>
      <c r="E747" s="16">
        <v>-0.99091200000000002</v>
      </c>
      <c r="F747" s="3">
        <v>9.5</v>
      </c>
      <c r="G747" s="3">
        <v>9.1</v>
      </c>
      <c r="H747" s="3">
        <v>0</v>
      </c>
      <c r="I747" s="3">
        <v>0</v>
      </c>
      <c r="J747" s="3">
        <v>-0.4</v>
      </c>
      <c r="K747" s="3">
        <v>-3.8</v>
      </c>
      <c r="L747" s="3">
        <v>19.100000000000001</v>
      </c>
      <c r="M747" s="3">
        <v>0.9</v>
      </c>
      <c r="N747" s="4">
        <v>35950</v>
      </c>
      <c r="O747" s="4" t="str" cm="1">
        <f t="array" ref="O747">_xlfn.IFS(N747&lt;45000,"Under 45K",N747&lt;75000,"45K - 75K",N747&lt;100000,"75K - 100K",N747&gt;=100000,"Over 100K")</f>
        <v>Under 45K</v>
      </c>
      <c r="P747" s="2" t="s">
        <v>47</v>
      </c>
    </row>
    <row r="748" spans="1:16">
      <c r="A748" s="2" t="s">
        <v>1540</v>
      </c>
      <c r="B748" s="2" t="s">
        <v>1541</v>
      </c>
      <c r="C748" s="2" t="s">
        <v>1403</v>
      </c>
      <c r="D748" s="2" t="s">
        <v>19</v>
      </c>
      <c r="E748" s="16">
        <v>-1.0024109999999999</v>
      </c>
      <c r="F748" s="3">
        <v>38.9</v>
      </c>
      <c r="G748" s="3">
        <v>35.4</v>
      </c>
      <c r="H748" s="3">
        <v>0</v>
      </c>
      <c r="I748" s="3">
        <v>0</v>
      </c>
      <c r="J748" s="3">
        <v>-3.5</v>
      </c>
      <c r="K748" s="3">
        <v>-9</v>
      </c>
      <c r="L748" s="3">
        <v>6.4</v>
      </c>
      <c r="M748" s="3">
        <v>3.2</v>
      </c>
      <c r="N748" s="4">
        <v>47060</v>
      </c>
      <c r="O748" s="4" t="str" cm="1">
        <f t="array" ref="O748">_xlfn.IFS(N748&lt;45000,"Under 45K",N748&lt;75000,"45K - 75K",N748&lt;100000,"75K - 100K",N748&gt;=100000,"Over 100K")</f>
        <v>45K - 75K</v>
      </c>
      <c r="P748" s="2" t="s">
        <v>47</v>
      </c>
    </row>
    <row r="749" spans="1:16">
      <c r="A749" s="2" t="s">
        <v>1542</v>
      </c>
      <c r="B749" s="2" t="s">
        <v>1543</v>
      </c>
      <c r="C749" s="2" t="s">
        <v>1403</v>
      </c>
      <c r="D749" s="2" t="s">
        <v>19</v>
      </c>
      <c r="E749" s="16">
        <v>-1.0091399999999999</v>
      </c>
      <c r="F749" s="3">
        <v>5.9</v>
      </c>
      <c r="G749" s="3">
        <v>5.7</v>
      </c>
      <c r="H749" s="3">
        <v>0</v>
      </c>
      <c r="I749" s="3">
        <v>0</v>
      </c>
      <c r="J749" s="3">
        <v>-0.3</v>
      </c>
      <c r="K749" s="3">
        <v>-4.7</v>
      </c>
      <c r="L749" s="3">
        <v>1.2</v>
      </c>
      <c r="M749" s="3">
        <v>0.6</v>
      </c>
      <c r="N749" s="4">
        <v>48940</v>
      </c>
      <c r="O749" s="4" t="str" cm="1">
        <f t="array" ref="O749">_xlfn.IFS(N749&lt;45000,"Under 45K",N749&lt;75000,"45K - 75K",N749&lt;100000,"75K - 100K",N749&gt;=100000,"Over 100K")</f>
        <v>45K - 75K</v>
      </c>
      <c r="P749" s="2" t="s">
        <v>47</v>
      </c>
    </row>
    <row r="750" spans="1:16">
      <c r="A750" s="2" t="s">
        <v>1544</v>
      </c>
      <c r="B750" s="2" t="s">
        <v>1545</v>
      </c>
      <c r="C750" s="2" t="s">
        <v>1403</v>
      </c>
      <c r="D750" s="2" t="s">
        <v>19</v>
      </c>
      <c r="E750" s="16">
        <v>-1.0229490000000001</v>
      </c>
      <c r="F750" s="3">
        <v>9.3000000000000007</v>
      </c>
      <c r="G750" s="3">
        <v>8.1999999999999993</v>
      </c>
      <c r="H750" s="3">
        <v>0</v>
      </c>
      <c r="I750" s="3">
        <v>0</v>
      </c>
      <c r="J750" s="3">
        <v>-1.1000000000000001</v>
      </c>
      <c r="K750" s="3">
        <v>-11.7</v>
      </c>
      <c r="L750" s="3">
        <v>2.4</v>
      </c>
      <c r="M750" s="3">
        <v>1</v>
      </c>
      <c r="N750" s="4">
        <v>37940</v>
      </c>
      <c r="O750" s="4" t="str" cm="1">
        <f t="array" ref="O750">_xlfn.IFS(N750&lt;45000,"Under 45K",N750&lt;75000,"45K - 75K",N750&lt;100000,"75K - 100K",N750&gt;=100000,"Over 100K")</f>
        <v>Under 45K</v>
      </c>
      <c r="P750" s="2" t="s">
        <v>47</v>
      </c>
    </row>
    <row r="751" spans="1:16">
      <c r="A751" s="2" t="s">
        <v>1546</v>
      </c>
      <c r="B751" s="2" t="s">
        <v>1547</v>
      </c>
      <c r="C751" s="2" t="s">
        <v>1403</v>
      </c>
      <c r="D751" s="2" t="s">
        <v>19</v>
      </c>
      <c r="E751" s="16">
        <v>-1.029855</v>
      </c>
      <c r="F751" s="3">
        <v>4.0999999999999996</v>
      </c>
      <c r="G751" s="3">
        <v>3.9</v>
      </c>
      <c r="H751" s="3">
        <v>0</v>
      </c>
      <c r="I751" s="3">
        <v>0</v>
      </c>
      <c r="J751" s="3">
        <v>-0.2</v>
      </c>
      <c r="K751" s="3">
        <v>-3.7</v>
      </c>
      <c r="L751" s="3">
        <v>19</v>
      </c>
      <c r="M751" s="3">
        <v>0.4</v>
      </c>
      <c r="N751" s="4">
        <v>38160</v>
      </c>
      <c r="O751" s="4" t="str" cm="1">
        <f t="array" ref="O751">_xlfn.IFS(N751&lt;45000,"Under 45K",N751&lt;75000,"45K - 75K",N751&lt;100000,"75K - 100K",N751&gt;=100000,"Over 100K")</f>
        <v>Under 45K</v>
      </c>
      <c r="P751" s="2" t="s">
        <v>47</v>
      </c>
    </row>
    <row r="752" spans="1:16">
      <c r="A752" s="2" t="s">
        <v>1548</v>
      </c>
      <c r="B752" s="2" t="s">
        <v>1549</v>
      </c>
      <c r="C752" s="2" t="s">
        <v>1403</v>
      </c>
      <c r="D752" s="2" t="s">
        <v>19</v>
      </c>
      <c r="E752" s="16">
        <v>-1.0365690000000001</v>
      </c>
      <c r="F752" s="3">
        <v>174.7</v>
      </c>
      <c r="G752" s="3">
        <v>153.6</v>
      </c>
      <c r="H752" s="3">
        <v>0.1</v>
      </c>
      <c r="I752" s="3">
        <v>0.1</v>
      </c>
      <c r="J752" s="3">
        <v>-21.1</v>
      </c>
      <c r="K752" s="3">
        <v>-12.1</v>
      </c>
      <c r="L752" s="3" t="s">
        <v>30</v>
      </c>
      <c r="M752" s="3">
        <v>14.4</v>
      </c>
      <c r="N752" s="4">
        <v>45590</v>
      </c>
      <c r="O752" s="4" t="str" cm="1">
        <f t="array" ref="O752">_xlfn.IFS(N752&lt;45000,"Under 45K",N752&lt;75000,"45K - 75K",N752&lt;100000,"75K - 100K",N752&gt;=100000,"Over 100K")</f>
        <v>45K - 75K</v>
      </c>
      <c r="P752" s="2" t="s">
        <v>47</v>
      </c>
    </row>
    <row r="753" spans="1:16">
      <c r="A753" s="2" t="s">
        <v>1550</v>
      </c>
      <c r="B753" s="2" t="s">
        <v>1551</v>
      </c>
      <c r="C753" s="2" t="s">
        <v>1403</v>
      </c>
      <c r="D753" s="2" t="s">
        <v>19</v>
      </c>
      <c r="E753" s="16">
        <v>-1.042151</v>
      </c>
      <c r="F753" s="3">
        <v>57.3</v>
      </c>
      <c r="G753" s="3">
        <v>58.4</v>
      </c>
      <c r="H753" s="3">
        <v>0</v>
      </c>
      <c r="I753" s="3">
        <v>0</v>
      </c>
      <c r="J753" s="3">
        <v>1.1000000000000001</v>
      </c>
      <c r="K753" s="3">
        <v>2</v>
      </c>
      <c r="L753" s="3" t="s">
        <v>30</v>
      </c>
      <c r="M753" s="3">
        <v>5.2</v>
      </c>
      <c r="N753" s="4">
        <v>45130</v>
      </c>
      <c r="O753" s="4" t="str" cm="1">
        <f t="array" ref="O753">_xlfn.IFS(N753&lt;45000,"Under 45K",N753&lt;75000,"45K - 75K",N753&lt;100000,"75K - 100K",N753&gt;=100000,"Over 100K")</f>
        <v>45K - 75K</v>
      </c>
      <c r="P753" s="2" t="s">
        <v>47</v>
      </c>
    </row>
    <row r="754" spans="1:16">
      <c r="A754" s="2" t="s">
        <v>1552</v>
      </c>
      <c r="B754" s="2" t="s">
        <v>1553</v>
      </c>
      <c r="C754" s="2" t="s">
        <v>1403</v>
      </c>
      <c r="D754" s="2" t="s">
        <v>19</v>
      </c>
      <c r="E754" s="16">
        <v>-1.0434760000000001</v>
      </c>
      <c r="F754" s="3">
        <v>28.7</v>
      </c>
      <c r="G754" s="3">
        <v>27.9</v>
      </c>
      <c r="H754" s="3">
        <v>0</v>
      </c>
      <c r="I754" s="3">
        <v>0</v>
      </c>
      <c r="J754" s="3">
        <v>-0.7</v>
      </c>
      <c r="K754" s="3">
        <v>-2.5</v>
      </c>
      <c r="L754" s="3" t="s">
        <v>30</v>
      </c>
      <c r="M754" s="3">
        <v>2.7</v>
      </c>
      <c r="N754" s="4">
        <v>46890</v>
      </c>
      <c r="O754" s="4" t="str" cm="1">
        <f t="array" ref="O754">_xlfn.IFS(N754&lt;45000,"Under 45K",N754&lt;75000,"45K - 75K",N754&lt;100000,"75K - 100K",N754&gt;=100000,"Over 100K")</f>
        <v>45K - 75K</v>
      </c>
      <c r="P754" s="2" t="s">
        <v>47</v>
      </c>
    </row>
    <row r="755" spans="1:16">
      <c r="A755" s="2" t="s">
        <v>1554</v>
      </c>
      <c r="B755" s="2" t="s">
        <v>1555</v>
      </c>
      <c r="C755" s="2" t="s">
        <v>1403</v>
      </c>
      <c r="D755" s="2" t="s">
        <v>19</v>
      </c>
      <c r="E755" s="16">
        <v>-1.0543990000000001</v>
      </c>
      <c r="F755" s="3">
        <v>202.6</v>
      </c>
      <c r="G755" s="3">
        <v>213.5</v>
      </c>
      <c r="H755" s="3">
        <v>0.1</v>
      </c>
      <c r="I755" s="3">
        <v>0.1</v>
      </c>
      <c r="J755" s="3">
        <v>10.9</v>
      </c>
      <c r="K755" s="3">
        <v>5.4</v>
      </c>
      <c r="L755" s="3">
        <v>2.2999999999999998</v>
      </c>
      <c r="M755" s="3">
        <v>31.9</v>
      </c>
      <c r="N755" s="4">
        <v>33800</v>
      </c>
      <c r="O755" s="4" t="str" cm="1">
        <f t="array" ref="O755">_xlfn.IFS(N755&lt;45000,"Under 45K",N755&lt;75000,"45K - 75K",N755&lt;100000,"75K - 100K",N755&gt;=100000,"Over 100K")</f>
        <v>Under 45K</v>
      </c>
      <c r="P755" s="2" t="s">
        <v>165</v>
      </c>
    </row>
    <row r="756" spans="1:16">
      <c r="A756" s="2" t="s">
        <v>1556</v>
      </c>
      <c r="B756" s="2" t="s">
        <v>1557</v>
      </c>
      <c r="C756" s="2" t="s">
        <v>1403</v>
      </c>
      <c r="D756" s="2" t="s">
        <v>19</v>
      </c>
      <c r="E756" s="16">
        <v>-1.0578970000000001</v>
      </c>
      <c r="F756" s="3">
        <v>0.5</v>
      </c>
      <c r="G756" s="3">
        <v>0.4</v>
      </c>
      <c r="H756" s="3">
        <v>0</v>
      </c>
      <c r="I756" s="3">
        <v>0</v>
      </c>
      <c r="J756" s="3">
        <v>0</v>
      </c>
      <c r="K756" s="3">
        <v>-5</v>
      </c>
      <c r="L756" s="3">
        <v>58.1</v>
      </c>
      <c r="M756" s="3">
        <v>0</v>
      </c>
      <c r="N756" s="4">
        <v>52520</v>
      </c>
      <c r="O756" s="4" t="str" cm="1">
        <f t="array" ref="O756">_xlfn.IFS(N756&lt;45000,"Under 45K",N756&lt;75000,"45K - 75K",N756&lt;100000,"75K - 100K",N756&gt;=100000,"Over 100K")</f>
        <v>45K - 75K</v>
      </c>
      <c r="P756" s="2" t="s">
        <v>47</v>
      </c>
    </row>
    <row r="757" spans="1:16">
      <c r="A757" s="2" t="s">
        <v>1558</v>
      </c>
      <c r="B757" s="2" t="s">
        <v>1559</v>
      </c>
      <c r="C757" s="2" t="s">
        <v>1403</v>
      </c>
      <c r="D757" s="2" t="s">
        <v>19</v>
      </c>
      <c r="E757" s="16">
        <v>-1.06734</v>
      </c>
      <c r="F757" s="3">
        <v>18.899999999999999</v>
      </c>
      <c r="G757" s="3">
        <v>16.399999999999999</v>
      </c>
      <c r="H757" s="3">
        <v>0</v>
      </c>
      <c r="I757" s="3">
        <v>0</v>
      </c>
      <c r="J757" s="3">
        <v>-2.6</v>
      </c>
      <c r="K757" s="3">
        <v>-13.6</v>
      </c>
      <c r="L757" s="3" t="s">
        <v>30</v>
      </c>
      <c r="M757" s="3">
        <v>1.5</v>
      </c>
      <c r="N757" s="4">
        <v>48620</v>
      </c>
      <c r="O757" s="4" t="str" cm="1">
        <f t="array" ref="O757">_xlfn.IFS(N757&lt;45000,"Under 45K",N757&lt;75000,"45K - 75K",N757&lt;100000,"75K - 100K",N757&gt;=100000,"Over 100K")</f>
        <v>45K - 75K</v>
      </c>
      <c r="P757" s="2" t="s">
        <v>47</v>
      </c>
    </row>
    <row r="758" spans="1:16">
      <c r="A758" s="2" t="s">
        <v>1560</v>
      </c>
      <c r="B758" s="2" t="s">
        <v>1561</v>
      </c>
      <c r="C758" s="2" t="s">
        <v>1403</v>
      </c>
      <c r="D758" s="2" t="s">
        <v>19</v>
      </c>
      <c r="E758" s="16">
        <v>-1.0763069999999999</v>
      </c>
      <c r="F758" s="3">
        <v>53.8</v>
      </c>
      <c r="G758" s="3">
        <v>45</v>
      </c>
      <c r="H758" s="3">
        <v>0</v>
      </c>
      <c r="I758" s="3">
        <v>0</v>
      </c>
      <c r="J758" s="3">
        <v>-8.8000000000000007</v>
      </c>
      <c r="K758" s="3">
        <v>-16.3</v>
      </c>
      <c r="L758" s="3">
        <v>0.8</v>
      </c>
      <c r="M758" s="3">
        <v>4.0999999999999996</v>
      </c>
      <c r="N758" s="4">
        <v>49900</v>
      </c>
      <c r="O758" s="4" t="str" cm="1">
        <f t="array" ref="O758">_xlfn.IFS(N758&lt;45000,"Under 45K",N758&lt;75000,"45K - 75K",N758&lt;100000,"75K - 100K",N758&gt;=100000,"Over 100K")</f>
        <v>45K - 75K</v>
      </c>
      <c r="P758" s="2" t="s">
        <v>47</v>
      </c>
    </row>
    <row r="759" spans="1:16">
      <c r="A759" s="2" t="s">
        <v>1562</v>
      </c>
      <c r="B759" s="2" t="s">
        <v>1563</v>
      </c>
      <c r="C759" s="2" t="s">
        <v>1403</v>
      </c>
      <c r="D759" s="2" t="s">
        <v>19</v>
      </c>
      <c r="E759" s="16">
        <v>-1.0792820000000001</v>
      </c>
      <c r="F759" s="3">
        <v>49</v>
      </c>
      <c r="G759" s="3">
        <v>47.9</v>
      </c>
      <c r="H759" s="3">
        <v>0</v>
      </c>
      <c r="I759" s="3">
        <v>0</v>
      </c>
      <c r="J759" s="3">
        <v>-1.1000000000000001</v>
      </c>
      <c r="K759" s="3">
        <v>-2.2999999999999998</v>
      </c>
      <c r="L759" s="3">
        <v>3.3</v>
      </c>
      <c r="M759" s="3">
        <v>5.3</v>
      </c>
      <c r="N759" s="4">
        <v>45700</v>
      </c>
      <c r="O759" s="4" t="str" cm="1">
        <f t="array" ref="O759">_xlfn.IFS(N759&lt;45000,"Under 45K",N759&lt;75000,"45K - 75K",N759&lt;100000,"75K - 100K",N759&gt;=100000,"Over 100K")</f>
        <v>45K - 75K</v>
      </c>
      <c r="P759" s="2" t="s">
        <v>47</v>
      </c>
    </row>
    <row r="760" spans="1:16">
      <c r="A760" s="2" t="s">
        <v>1564</v>
      </c>
      <c r="B760" s="2" t="s">
        <v>1565</v>
      </c>
      <c r="C760" s="2" t="s">
        <v>1403</v>
      </c>
      <c r="D760" s="2" t="s">
        <v>19</v>
      </c>
      <c r="E760" s="16">
        <v>-1.08921</v>
      </c>
      <c r="F760" s="3">
        <v>22.5</v>
      </c>
      <c r="G760" s="3">
        <v>20.6</v>
      </c>
      <c r="H760" s="3">
        <v>0</v>
      </c>
      <c r="I760" s="3">
        <v>0</v>
      </c>
      <c r="J760" s="3">
        <v>-1.9</v>
      </c>
      <c r="K760" s="3">
        <v>-8.3000000000000007</v>
      </c>
      <c r="L760" s="3" t="s">
        <v>30</v>
      </c>
      <c r="M760" s="3">
        <v>1.9</v>
      </c>
      <c r="N760" s="4">
        <v>48630</v>
      </c>
      <c r="O760" s="4" t="str" cm="1">
        <f t="array" ref="O760">_xlfn.IFS(N760&lt;45000,"Under 45K",N760&lt;75000,"45K - 75K",N760&lt;100000,"75K - 100K",N760&gt;=100000,"Over 100K")</f>
        <v>45K - 75K</v>
      </c>
      <c r="P760" s="2" t="s">
        <v>47</v>
      </c>
    </row>
    <row r="761" spans="1:16">
      <c r="A761" s="2" t="s">
        <v>1566</v>
      </c>
      <c r="B761" s="2" t="s">
        <v>1567</v>
      </c>
      <c r="C761" s="2" t="s">
        <v>1403</v>
      </c>
      <c r="D761" s="2" t="s">
        <v>19</v>
      </c>
      <c r="E761" s="16">
        <v>-1.0924860000000001</v>
      </c>
      <c r="F761" s="3">
        <v>14.8</v>
      </c>
      <c r="G761" s="3">
        <v>12.9</v>
      </c>
      <c r="H761" s="3">
        <v>0</v>
      </c>
      <c r="I761" s="3">
        <v>0</v>
      </c>
      <c r="J761" s="3">
        <v>-1.9</v>
      </c>
      <c r="K761" s="3">
        <v>-12.8</v>
      </c>
      <c r="L761" s="3">
        <v>1</v>
      </c>
      <c r="M761" s="3">
        <v>1.2</v>
      </c>
      <c r="N761" s="4">
        <v>47450</v>
      </c>
      <c r="O761" s="4" t="str" cm="1">
        <f t="array" ref="O761">_xlfn.IFS(N761&lt;45000,"Under 45K",N761&lt;75000,"45K - 75K",N761&lt;100000,"75K - 100K",N761&gt;=100000,"Over 100K")</f>
        <v>45K - 75K</v>
      </c>
      <c r="P761" s="2" t="s">
        <v>47</v>
      </c>
    </row>
    <row r="762" spans="1:16">
      <c r="A762" s="2" t="s">
        <v>1568</v>
      </c>
      <c r="B762" s="2" t="s">
        <v>1569</v>
      </c>
      <c r="C762" s="2" t="s">
        <v>1403</v>
      </c>
      <c r="D762" s="2" t="s">
        <v>19</v>
      </c>
      <c r="E762" s="16">
        <v>-1.1056299999999999</v>
      </c>
      <c r="F762" s="3">
        <v>146.80000000000001</v>
      </c>
      <c r="G762" s="3">
        <v>154.9</v>
      </c>
      <c r="H762" s="3">
        <v>0.1</v>
      </c>
      <c r="I762" s="3">
        <v>0.1</v>
      </c>
      <c r="J762" s="3">
        <v>8.1</v>
      </c>
      <c r="K762" s="3">
        <v>5.5</v>
      </c>
      <c r="L762" s="3">
        <v>1.8</v>
      </c>
      <c r="M762" s="3">
        <v>18.399999999999999</v>
      </c>
      <c r="N762" s="4">
        <v>37700</v>
      </c>
      <c r="O762" s="4" t="str" cm="1">
        <f t="array" ref="O762">_xlfn.IFS(N762&lt;45000,"Under 45K",N762&lt;75000,"45K - 75K",N762&lt;100000,"75K - 100K",N762&gt;=100000,"Over 100K")</f>
        <v>Under 45K</v>
      </c>
      <c r="P762" s="2" t="s">
        <v>165</v>
      </c>
    </row>
    <row r="763" spans="1:16">
      <c r="A763" s="2" t="s">
        <v>1570</v>
      </c>
      <c r="B763" s="2" t="s">
        <v>1571</v>
      </c>
      <c r="C763" s="2" t="s">
        <v>1403</v>
      </c>
      <c r="D763" s="2" t="s">
        <v>19</v>
      </c>
      <c r="E763" s="16">
        <v>-1.1303570000000001</v>
      </c>
      <c r="F763" s="3">
        <v>63.1</v>
      </c>
      <c r="G763" s="3">
        <v>61.9</v>
      </c>
      <c r="H763" s="3">
        <v>0</v>
      </c>
      <c r="I763" s="3">
        <v>0</v>
      </c>
      <c r="J763" s="3">
        <v>-1.1000000000000001</v>
      </c>
      <c r="K763" s="3">
        <v>-1.8</v>
      </c>
      <c r="L763" s="3" t="s">
        <v>30</v>
      </c>
      <c r="M763" s="3">
        <v>6.4</v>
      </c>
      <c r="N763" s="4">
        <v>40440</v>
      </c>
      <c r="O763" s="4" t="str" cm="1">
        <f t="array" ref="O763">_xlfn.IFS(N763&lt;45000,"Under 45K",N763&lt;75000,"45K - 75K",N763&lt;100000,"75K - 100K",N763&gt;=100000,"Over 100K")</f>
        <v>Under 45K</v>
      </c>
      <c r="P763" s="2" t="s">
        <v>47</v>
      </c>
    </row>
    <row r="764" spans="1:16">
      <c r="A764" s="2" t="s">
        <v>1572</v>
      </c>
      <c r="B764" s="2" t="s">
        <v>1573</v>
      </c>
      <c r="C764" s="2" t="s">
        <v>1403</v>
      </c>
      <c r="D764" s="2" t="s">
        <v>19</v>
      </c>
      <c r="E764" s="16">
        <v>-1.141885</v>
      </c>
      <c r="F764" s="3">
        <v>14.6</v>
      </c>
      <c r="G764" s="3">
        <v>15.2</v>
      </c>
      <c r="H764" s="3">
        <v>0</v>
      </c>
      <c r="I764" s="3">
        <v>0</v>
      </c>
      <c r="J764" s="3">
        <v>0.5</v>
      </c>
      <c r="K764" s="3">
        <v>3.6</v>
      </c>
      <c r="L764" s="3">
        <v>3.7</v>
      </c>
      <c r="M764" s="3">
        <v>1.6</v>
      </c>
      <c r="N764" s="4">
        <v>41460</v>
      </c>
      <c r="O764" s="4" t="str" cm="1">
        <f t="array" ref="O764">_xlfn.IFS(N764&lt;45000,"Under 45K",N764&lt;75000,"45K - 75K",N764&lt;100000,"75K - 100K",N764&gt;=100000,"Over 100K")</f>
        <v>Under 45K</v>
      </c>
      <c r="P764" s="2" t="s">
        <v>47</v>
      </c>
    </row>
    <row r="765" spans="1:16">
      <c r="A765" s="2" t="s">
        <v>1574</v>
      </c>
      <c r="B765" s="2" t="s">
        <v>1575</v>
      </c>
      <c r="C765" s="2" t="s">
        <v>1403</v>
      </c>
      <c r="D765" s="2" t="s">
        <v>19</v>
      </c>
      <c r="E765" s="16">
        <v>-1.146139</v>
      </c>
      <c r="F765" s="3">
        <v>154.6</v>
      </c>
      <c r="G765" s="3">
        <v>148.80000000000001</v>
      </c>
      <c r="H765" s="3">
        <v>0.1</v>
      </c>
      <c r="I765" s="3">
        <v>0.1</v>
      </c>
      <c r="J765" s="3">
        <v>-5.8</v>
      </c>
      <c r="K765" s="3">
        <v>-3.8</v>
      </c>
      <c r="L765" s="3" t="s">
        <v>30</v>
      </c>
      <c r="M765" s="3">
        <v>15.9</v>
      </c>
      <c r="N765" s="4">
        <v>41230</v>
      </c>
      <c r="O765" s="4" t="str" cm="1">
        <f t="array" ref="O765">_xlfn.IFS(N765&lt;45000,"Under 45K",N765&lt;75000,"45K - 75K",N765&lt;100000,"75K - 100K",N765&gt;=100000,"Over 100K")</f>
        <v>Under 45K</v>
      </c>
      <c r="P765" s="2" t="s">
        <v>47</v>
      </c>
    </row>
    <row r="766" spans="1:16">
      <c r="A766" s="2" t="s">
        <v>1576</v>
      </c>
      <c r="B766" s="2" t="s">
        <v>1577</v>
      </c>
      <c r="C766" s="2" t="s">
        <v>1403</v>
      </c>
      <c r="D766" s="2" t="s">
        <v>19</v>
      </c>
      <c r="E766" s="16">
        <v>-1.1465240000000001</v>
      </c>
      <c r="F766" s="3">
        <v>11.8</v>
      </c>
      <c r="G766" s="3">
        <v>9.3000000000000007</v>
      </c>
      <c r="H766" s="3">
        <v>0</v>
      </c>
      <c r="I766" s="3">
        <v>0</v>
      </c>
      <c r="J766" s="3">
        <v>-2.5</v>
      </c>
      <c r="K766" s="3">
        <v>-21.2</v>
      </c>
      <c r="L766" s="3" t="s">
        <v>30</v>
      </c>
      <c r="M766" s="3">
        <v>0.8</v>
      </c>
      <c r="N766" s="4">
        <v>41690</v>
      </c>
      <c r="O766" s="4" t="str" cm="1">
        <f t="array" ref="O766">_xlfn.IFS(N766&lt;45000,"Under 45K",N766&lt;75000,"45K - 75K",N766&lt;100000,"75K - 100K",N766&gt;=100000,"Over 100K")</f>
        <v>Under 45K</v>
      </c>
      <c r="P766" s="2" t="s">
        <v>165</v>
      </c>
    </row>
    <row r="767" spans="1:16">
      <c r="A767" s="2" t="s">
        <v>1578</v>
      </c>
      <c r="B767" s="2" t="s">
        <v>1579</v>
      </c>
      <c r="C767" s="2" t="s">
        <v>1403</v>
      </c>
      <c r="D767" s="2" t="s">
        <v>19</v>
      </c>
      <c r="E767" s="16">
        <v>-1.1650309999999999</v>
      </c>
      <c r="F767" s="3">
        <v>45</v>
      </c>
      <c r="G767" s="3">
        <v>44.7</v>
      </c>
      <c r="H767" s="3">
        <v>0</v>
      </c>
      <c r="I767" s="3">
        <v>0</v>
      </c>
      <c r="J767" s="3">
        <v>-0.3</v>
      </c>
      <c r="K767" s="3">
        <v>-0.6</v>
      </c>
      <c r="L767" s="3">
        <v>3.8</v>
      </c>
      <c r="M767" s="3">
        <v>4.8</v>
      </c>
      <c r="N767" s="4">
        <v>39950</v>
      </c>
      <c r="O767" s="4" t="str" cm="1">
        <f t="array" ref="O767">_xlfn.IFS(N767&lt;45000,"Under 45K",N767&lt;75000,"45K - 75K",N767&lt;100000,"75K - 100K",N767&gt;=100000,"Over 100K")</f>
        <v>Under 45K</v>
      </c>
      <c r="P767" s="2" t="s">
        <v>47</v>
      </c>
    </row>
    <row r="768" spans="1:16">
      <c r="A768" s="2" t="s">
        <v>1580</v>
      </c>
      <c r="B768" s="2" t="s">
        <v>1581</v>
      </c>
      <c r="C768" s="2" t="s">
        <v>1403</v>
      </c>
      <c r="D768" s="2" t="s">
        <v>19</v>
      </c>
      <c r="E768" s="16">
        <v>-1.167465</v>
      </c>
      <c r="F768" s="3">
        <v>20.8</v>
      </c>
      <c r="G768" s="3">
        <v>20.3</v>
      </c>
      <c r="H768" s="3">
        <v>0</v>
      </c>
      <c r="I768" s="3">
        <v>0</v>
      </c>
      <c r="J768" s="3">
        <v>-0.5</v>
      </c>
      <c r="K768" s="3">
        <v>-2.2999999999999998</v>
      </c>
      <c r="L768" s="3">
        <v>1.2</v>
      </c>
      <c r="M768" s="3">
        <v>2</v>
      </c>
      <c r="N768" s="4">
        <v>55770</v>
      </c>
      <c r="O768" s="4" t="str" cm="1">
        <f t="array" ref="O768">_xlfn.IFS(N768&lt;45000,"Under 45K",N768&lt;75000,"45K - 75K",N768&lt;100000,"75K - 100K",N768&gt;=100000,"Over 100K")</f>
        <v>45K - 75K</v>
      </c>
      <c r="P768" s="2" t="s">
        <v>47</v>
      </c>
    </row>
    <row r="769" spans="1:16">
      <c r="A769" s="2" t="s">
        <v>1582</v>
      </c>
      <c r="B769" s="2" t="s">
        <v>1583</v>
      </c>
      <c r="C769" s="2" t="s">
        <v>1403</v>
      </c>
      <c r="D769" s="2" t="s">
        <v>19</v>
      </c>
      <c r="E769" s="16">
        <v>-1.183408</v>
      </c>
      <c r="F769" s="3">
        <v>41.7</v>
      </c>
      <c r="G769" s="3">
        <v>44.3</v>
      </c>
      <c r="H769" s="3">
        <v>0</v>
      </c>
      <c r="I769" s="3">
        <v>0</v>
      </c>
      <c r="J769" s="3">
        <v>2.6</v>
      </c>
      <c r="K769" s="3">
        <v>6.2</v>
      </c>
      <c r="L769" s="3">
        <v>14.2</v>
      </c>
      <c r="M769" s="3">
        <v>5.5</v>
      </c>
      <c r="N769" s="4">
        <v>45690</v>
      </c>
      <c r="O769" s="4" t="str" cm="1">
        <f t="array" ref="O769">_xlfn.IFS(N769&lt;45000,"Under 45K",N769&lt;75000,"45K - 75K",N769&lt;100000,"75K - 100K",N769&gt;=100000,"Over 100K")</f>
        <v>45K - 75K</v>
      </c>
      <c r="P769" s="2" t="s">
        <v>47</v>
      </c>
    </row>
    <row r="770" spans="1:16">
      <c r="A770" s="2" t="s">
        <v>1584</v>
      </c>
      <c r="B770" s="2" t="s">
        <v>1585</v>
      </c>
      <c r="C770" s="2" t="s">
        <v>1403</v>
      </c>
      <c r="D770" s="2" t="s">
        <v>19</v>
      </c>
      <c r="E770" s="16">
        <v>-1.1975960000000001</v>
      </c>
      <c r="F770" s="3">
        <v>457.3</v>
      </c>
      <c r="G770" s="3">
        <v>467.2</v>
      </c>
      <c r="H770" s="3">
        <v>0.3</v>
      </c>
      <c r="I770" s="3">
        <v>0.3</v>
      </c>
      <c r="J770" s="3">
        <v>9.9</v>
      </c>
      <c r="K770" s="3">
        <v>2.2000000000000002</v>
      </c>
      <c r="L770" s="3">
        <v>6.3</v>
      </c>
      <c r="M770" s="3">
        <v>45.6</v>
      </c>
      <c r="N770" s="4">
        <v>51000</v>
      </c>
      <c r="O770" s="4" t="str" cm="1">
        <f t="array" ref="O770">_xlfn.IFS(N770&lt;45000,"Under 45K",N770&lt;75000,"45K - 75K",N770&lt;100000,"75K - 100K",N770&gt;=100000,"Over 100K")</f>
        <v>45K - 75K</v>
      </c>
      <c r="P770" s="2" t="s">
        <v>47</v>
      </c>
    </row>
    <row r="771" spans="1:16">
      <c r="A771" s="2" t="s">
        <v>1586</v>
      </c>
      <c r="B771" s="2" t="s">
        <v>1587</v>
      </c>
      <c r="C771" s="2" t="s">
        <v>1403</v>
      </c>
      <c r="D771" s="2" t="s">
        <v>19</v>
      </c>
      <c r="E771" s="16">
        <v>-1.197727</v>
      </c>
      <c r="F771" s="3">
        <v>20.5</v>
      </c>
      <c r="G771" s="3">
        <v>19.8</v>
      </c>
      <c r="H771" s="3">
        <v>0</v>
      </c>
      <c r="I771" s="3">
        <v>0</v>
      </c>
      <c r="J771" s="3">
        <v>-0.7</v>
      </c>
      <c r="K771" s="3">
        <v>-3.3</v>
      </c>
      <c r="L771" s="3">
        <v>32</v>
      </c>
      <c r="M771" s="3">
        <v>2</v>
      </c>
      <c r="N771" s="4">
        <v>42530</v>
      </c>
      <c r="O771" s="4" t="str" cm="1">
        <f t="array" ref="O771">_xlfn.IFS(N771&lt;45000,"Under 45K",N771&lt;75000,"45K - 75K",N771&lt;100000,"75K - 100K",N771&gt;=100000,"Over 100K")</f>
        <v>Under 45K</v>
      </c>
      <c r="P771" s="2" t="s">
        <v>47</v>
      </c>
    </row>
    <row r="772" spans="1:16">
      <c r="A772" s="2" t="s">
        <v>1588</v>
      </c>
      <c r="B772" s="2" t="s">
        <v>1589</v>
      </c>
      <c r="C772" s="2" t="s">
        <v>1403</v>
      </c>
      <c r="D772" s="2" t="s">
        <v>19</v>
      </c>
      <c r="E772" s="16">
        <v>-1.2343519999999999</v>
      </c>
      <c r="F772" s="3">
        <v>66</v>
      </c>
      <c r="G772" s="3">
        <v>66.8</v>
      </c>
      <c r="H772" s="3">
        <v>0</v>
      </c>
      <c r="I772" s="3">
        <v>0</v>
      </c>
      <c r="J772" s="3">
        <v>0.8</v>
      </c>
      <c r="K772" s="3">
        <v>1.2</v>
      </c>
      <c r="L772" s="3" t="s">
        <v>30</v>
      </c>
      <c r="M772" s="3">
        <v>6.5</v>
      </c>
      <c r="N772" s="4">
        <v>46980</v>
      </c>
      <c r="O772" s="4" t="str" cm="1">
        <f t="array" ref="O772">_xlfn.IFS(N772&lt;45000,"Under 45K",N772&lt;75000,"45K - 75K",N772&lt;100000,"75K - 100K",N772&gt;=100000,"Over 100K")</f>
        <v>45K - 75K</v>
      </c>
      <c r="P772" s="2" t="s">
        <v>47</v>
      </c>
    </row>
    <row r="773" spans="1:16">
      <c r="A773" s="2" t="s">
        <v>1590</v>
      </c>
      <c r="B773" s="2" t="s">
        <v>1591</v>
      </c>
      <c r="C773" s="2" t="s">
        <v>1403</v>
      </c>
      <c r="D773" s="2" t="s">
        <v>19</v>
      </c>
      <c r="E773" s="16">
        <v>-1.241662</v>
      </c>
      <c r="F773" s="3">
        <v>15.3</v>
      </c>
      <c r="G773" s="3">
        <v>13.6</v>
      </c>
      <c r="H773" s="3">
        <v>0</v>
      </c>
      <c r="I773" s="3">
        <v>0</v>
      </c>
      <c r="J773" s="3">
        <v>-1.7</v>
      </c>
      <c r="K773" s="3">
        <v>-11.2</v>
      </c>
      <c r="L773" s="3">
        <v>2.4</v>
      </c>
      <c r="M773" s="3">
        <v>1.7</v>
      </c>
      <c r="N773" s="4">
        <v>38260</v>
      </c>
      <c r="O773" s="4" t="str" cm="1">
        <f t="array" ref="O773">_xlfn.IFS(N773&lt;45000,"Under 45K",N773&lt;75000,"45K - 75K",N773&lt;100000,"75K - 100K",N773&gt;=100000,"Over 100K")</f>
        <v>Under 45K</v>
      </c>
      <c r="P773" s="2" t="s">
        <v>47</v>
      </c>
    </row>
    <row r="774" spans="1:16">
      <c r="A774" s="2" t="s">
        <v>1592</v>
      </c>
      <c r="B774" s="2" t="s">
        <v>1593</v>
      </c>
      <c r="C774" s="2" t="s">
        <v>1403</v>
      </c>
      <c r="D774" s="2" t="s">
        <v>19</v>
      </c>
      <c r="E774" s="16">
        <v>-1.290964</v>
      </c>
      <c r="F774" s="3">
        <v>292.8</v>
      </c>
      <c r="G774" s="3">
        <v>294.3</v>
      </c>
      <c r="H774" s="3">
        <v>0.2</v>
      </c>
      <c r="I774" s="3">
        <v>0.2</v>
      </c>
      <c r="J774" s="3">
        <v>1.5</v>
      </c>
      <c r="K774" s="3">
        <v>0.5</v>
      </c>
      <c r="L774" s="3">
        <v>3.7</v>
      </c>
      <c r="M774" s="3">
        <v>31.6</v>
      </c>
      <c r="N774" s="4">
        <v>38820</v>
      </c>
      <c r="O774" s="4" t="str" cm="1">
        <f t="array" ref="O774">_xlfn.IFS(N774&lt;45000,"Under 45K",N774&lt;75000,"45K - 75K",N774&lt;100000,"75K - 100K",N774&gt;=100000,"Over 100K")</f>
        <v>Under 45K</v>
      </c>
      <c r="P774" s="2" t="s">
        <v>47</v>
      </c>
    </row>
    <row r="775" spans="1:16">
      <c r="A775" s="2" t="s">
        <v>1594</v>
      </c>
      <c r="B775" s="2" t="s">
        <v>1595</v>
      </c>
      <c r="C775" s="2" t="s">
        <v>1403</v>
      </c>
      <c r="D775" s="2" t="s">
        <v>19</v>
      </c>
      <c r="E775" s="16">
        <v>-1.311418</v>
      </c>
      <c r="F775" s="3">
        <v>12.2</v>
      </c>
      <c r="G775" s="3">
        <v>12.3</v>
      </c>
      <c r="H775" s="3">
        <v>0</v>
      </c>
      <c r="I775" s="3">
        <v>0</v>
      </c>
      <c r="J775" s="3">
        <v>0.1</v>
      </c>
      <c r="K775" s="3">
        <v>1</v>
      </c>
      <c r="L775" s="3" t="s">
        <v>30</v>
      </c>
      <c r="M775" s="3">
        <v>1.3</v>
      </c>
      <c r="N775" s="4">
        <v>45210</v>
      </c>
      <c r="O775" s="4" t="str" cm="1">
        <f t="array" ref="O775">_xlfn.IFS(N775&lt;45000,"Under 45K",N775&lt;75000,"45K - 75K",N775&lt;100000,"75K - 100K",N775&gt;=100000,"Over 100K")</f>
        <v>45K - 75K</v>
      </c>
      <c r="P775" s="2" t="s">
        <v>47</v>
      </c>
    </row>
    <row r="776" spans="1:16">
      <c r="A776" s="2" t="s">
        <v>1596</v>
      </c>
      <c r="B776" s="2" t="s">
        <v>1597</v>
      </c>
      <c r="C776" s="2" t="s">
        <v>1403</v>
      </c>
      <c r="D776" s="2" t="s">
        <v>19</v>
      </c>
      <c r="E776" s="16">
        <v>-1.3137350000000001</v>
      </c>
      <c r="F776" s="3">
        <v>22.7</v>
      </c>
      <c r="G776" s="3">
        <v>22.3</v>
      </c>
      <c r="H776" s="3">
        <v>0</v>
      </c>
      <c r="I776" s="3">
        <v>0</v>
      </c>
      <c r="J776" s="3">
        <v>-0.4</v>
      </c>
      <c r="K776" s="3">
        <v>-1.8</v>
      </c>
      <c r="L776" s="3">
        <v>9.1999999999999993</v>
      </c>
      <c r="M776" s="3">
        <v>2.2000000000000002</v>
      </c>
      <c r="N776" s="4">
        <v>46190</v>
      </c>
      <c r="O776" s="4" t="str" cm="1">
        <f t="array" ref="O776">_xlfn.IFS(N776&lt;45000,"Under 45K",N776&lt;75000,"45K - 75K",N776&lt;100000,"75K - 100K",N776&gt;=100000,"Over 100K")</f>
        <v>45K - 75K</v>
      </c>
      <c r="P776" s="2" t="s">
        <v>47</v>
      </c>
    </row>
    <row r="777" spans="1:16">
      <c r="A777" s="2" t="s">
        <v>1598</v>
      </c>
      <c r="B777" s="2" t="s">
        <v>1599</v>
      </c>
      <c r="C777" s="2" t="s">
        <v>1403</v>
      </c>
      <c r="D777" s="2" t="s">
        <v>19</v>
      </c>
      <c r="E777" s="16">
        <v>-1.3274889999999999</v>
      </c>
      <c r="F777" s="3">
        <v>86</v>
      </c>
      <c r="G777" s="3">
        <v>84.7</v>
      </c>
      <c r="H777" s="3">
        <v>0.1</v>
      </c>
      <c r="I777" s="3">
        <v>0</v>
      </c>
      <c r="J777" s="3">
        <v>-1.4</v>
      </c>
      <c r="K777" s="3">
        <v>-1.6</v>
      </c>
      <c r="L777" s="3">
        <v>9</v>
      </c>
      <c r="M777" s="3">
        <v>8.1</v>
      </c>
      <c r="N777" s="4">
        <v>46020</v>
      </c>
      <c r="O777" s="4" t="str" cm="1">
        <f t="array" ref="O777">_xlfn.IFS(N777&lt;45000,"Under 45K",N777&lt;75000,"45K - 75K",N777&lt;100000,"75K - 100K",N777&gt;=100000,"Over 100K")</f>
        <v>45K - 75K</v>
      </c>
      <c r="P777" s="2" t="s">
        <v>47</v>
      </c>
    </row>
    <row r="778" spans="1:16">
      <c r="A778" s="2" t="s">
        <v>1600</v>
      </c>
      <c r="B778" s="2" t="s">
        <v>1601</v>
      </c>
      <c r="C778" s="2" t="s">
        <v>1403</v>
      </c>
      <c r="D778" s="2" t="s">
        <v>19</v>
      </c>
      <c r="E778" s="16">
        <v>-1.3929290000000001</v>
      </c>
      <c r="F778" s="3">
        <v>21.7</v>
      </c>
      <c r="G778" s="3">
        <v>19.8</v>
      </c>
      <c r="H778" s="3">
        <v>0</v>
      </c>
      <c r="I778" s="3">
        <v>0</v>
      </c>
      <c r="J778" s="3">
        <v>-1.9</v>
      </c>
      <c r="K778" s="3">
        <v>-9</v>
      </c>
      <c r="L778" s="3">
        <v>2.4</v>
      </c>
      <c r="M778" s="3">
        <v>2.5</v>
      </c>
      <c r="N778" s="4">
        <v>37660</v>
      </c>
      <c r="O778" s="4" t="str" cm="1">
        <f t="array" ref="O778">_xlfn.IFS(N778&lt;45000,"Under 45K",N778&lt;75000,"45K - 75K",N778&lt;100000,"75K - 100K",N778&gt;=100000,"Over 100K")</f>
        <v>Under 45K</v>
      </c>
      <c r="P778" s="2" t="s">
        <v>47</v>
      </c>
    </row>
    <row r="779" spans="1:16">
      <c r="A779" s="2" t="s">
        <v>1602</v>
      </c>
      <c r="B779" s="2" t="s">
        <v>1603</v>
      </c>
      <c r="C779" s="2" t="s">
        <v>1403</v>
      </c>
      <c r="D779" s="2" t="s">
        <v>19</v>
      </c>
      <c r="E779" s="16">
        <v>-1.4113039999999999</v>
      </c>
      <c r="F779" s="3">
        <v>168.5</v>
      </c>
      <c r="G779" s="3">
        <v>153.5</v>
      </c>
      <c r="H779" s="3">
        <v>0.1</v>
      </c>
      <c r="I779" s="3">
        <v>0.1</v>
      </c>
      <c r="J779" s="3">
        <v>-15</v>
      </c>
      <c r="K779" s="3">
        <v>-8.9</v>
      </c>
      <c r="L779" s="3">
        <v>0.1</v>
      </c>
      <c r="M779" s="3">
        <v>23.6</v>
      </c>
      <c r="N779" s="4">
        <v>38220</v>
      </c>
      <c r="O779" s="4" t="str" cm="1">
        <f t="array" ref="O779">_xlfn.IFS(N779&lt;45000,"Under 45K",N779&lt;75000,"45K - 75K",N779&lt;100000,"75K - 100K",N779&gt;=100000,"Over 100K")</f>
        <v>Under 45K</v>
      </c>
      <c r="P779" s="2" t="s">
        <v>47</v>
      </c>
    </row>
    <row r="780" spans="1:16">
      <c r="A780" s="2" t="s">
        <v>1604</v>
      </c>
      <c r="B780" s="2" t="s">
        <v>1605</v>
      </c>
      <c r="C780" s="2" t="s">
        <v>1403</v>
      </c>
      <c r="D780" s="2" t="s">
        <v>19</v>
      </c>
      <c r="E780" s="16">
        <v>-1.6109150000000001</v>
      </c>
      <c r="F780" s="3">
        <v>20.9</v>
      </c>
      <c r="G780" s="3">
        <v>21.4</v>
      </c>
      <c r="H780" s="3">
        <v>0</v>
      </c>
      <c r="I780" s="3">
        <v>0</v>
      </c>
      <c r="J780" s="3">
        <v>0.5</v>
      </c>
      <c r="K780" s="3">
        <v>2.2999999999999998</v>
      </c>
      <c r="L780" s="3" t="s">
        <v>30</v>
      </c>
      <c r="M780" s="3">
        <v>2.5</v>
      </c>
      <c r="N780" s="4">
        <v>55580</v>
      </c>
      <c r="O780" s="4" t="str" cm="1">
        <f t="array" ref="O780">_xlfn.IFS(N780&lt;45000,"Under 45K",N780&lt;75000,"45K - 75K",N780&lt;100000,"75K - 100K",N780&gt;=100000,"Over 100K")</f>
        <v>45K - 75K</v>
      </c>
      <c r="P780" s="2" t="s">
        <v>47</v>
      </c>
    </row>
    <row r="781" spans="1:16">
      <c r="A781" s="2" t="s">
        <v>1606</v>
      </c>
      <c r="B781" s="2" t="s">
        <v>1607</v>
      </c>
      <c r="C781" s="2" t="s">
        <v>1403</v>
      </c>
      <c r="D781" s="2" t="s">
        <v>19</v>
      </c>
      <c r="E781" s="16">
        <v>-1.7403489999999999</v>
      </c>
      <c r="F781" s="3">
        <v>12.7</v>
      </c>
      <c r="G781" s="3">
        <v>9.4</v>
      </c>
      <c r="H781" s="3">
        <v>0</v>
      </c>
      <c r="I781" s="3">
        <v>0</v>
      </c>
      <c r="J781" s="3">
        <v>-3.3</v>
      </c>
      <c r="K781" s="3">
        <v>-25.9</v>
      </c>
      <c r="L781" s="3" t="s">
        <v>30</v>
      </c>
      <c r="M781" s="3">
        <v>0.9</v>
      </c>
      <c r="N781" s="4">
        <v>45700</v>
      </c>
      <c r="O781" s="4" t="str" cm="1">
        <f t="array" ref="O781">_xlfn.IFS(N781&lt;45000,"Under 45K",N781&lt;75000,"45K - 75K",N781&lt;100000,"75K - 100K",N781&gt;=100000,"Over 100K")</f>
        <v>45K - 75K</v>
      </c>
      <c r="P781" s="2" t="s">
        <v>47</v>
      </c>
    </row>
    <row r="782" spans="1:16">
      <c r="A782" s="2" t="s">
        <v>1608</v>
      </c>
      <c r="B782" s="2" t="s">
        <v>1609</v>
      </c>
      <c r="C782" s="2" t="s">
        <v>1403</v>
      </c>
      <c r="D782" s="2" t="s">
        <v>19</v>
      </c>
      <c r="E782" s="16">
        <v>-1.834668</v>
      </c>
      <c r="F782" s="3">
        <v>69.599999999999994</v>
      </c>
      <c r="G782" s="3">
        <v>71.2</v>
      </c>
      <c r="H782" s="3">
        <v>0</v>
      </c>
      <c r="I782" s="3">
        <v>0</v>
      </c>
      <c r="J782" s="3">
        <v>1.5</v>
      </c>
      <c r="K782" s="3">
        <v>2.2000000000000002</v>
      </c>
      <c r="L782" s="3">
        <v>1.8</v>
      </c>
      <c r="M782" s="3">
        <v>8.4</v>
      </c>
      <c r="N782" s="4">
        <v>39790</v>
      </c>
      <c r="O782" s="4" t="str" cm="1">
        <f t="array" ref="O782">_xlfn.IFS(N782&lt;45000,"Under 45K",N782&lt;75000,"45K - 75K",N782&lt;100000,"75K - 100K",N782&gt;=100000,"Over 100K")</f>
        <v>Under 45K</v>
      </c>
      <c r="P782" s="2" t="s">
        <v>165</v>
      </c>
    </row>
    <row r="783" spans="1:16">
      <c r="A783" s="2" t="s">
        <v>1610</v>
      </c>
      <c r="B783" s="2" t="s">
        <v>1611</v>
      </c>
      <c r="C783" s="2" t="s">
        <v>1403</v>
      </c>
      <c r="D783" s="2" t="s">
        <v>19</v>
      </c>
      <c r="E783" s="16">
        <v>-1.9500630000000001</v>
      </c>
      <c r="F783" s="3">
        <v>28.4</v>
      </c>
      <c r="G783" s="3">
        <v>24.6</v>
      </c>
      <c r="H783" s="3">
        <v>0</v>
      </c>
      <c r="I783" s="3">
        <v>0</v>
      </c>
      <c r="J783" s="3">
        <v>-3.8</v>
      </c>
      <c r="K783" s="3">
        <v>-13.5</v>
      </c>
      <c r="L783" s="3" t="s">
        <v>30</v>
      </c>
      <c r="M783" s="3">
        <v>2.8</v>
      </c>
      <c r="N783" s="4">
        <v>33880</v>
      </c>
      <c r="O783" s="4" t="str" cm="1">
        <f t="array" ref="O783">_xlfn.IFS(N783&lt;45000,"Under 45K",N783&lt;75000,"45K - 75K",N783&lt;100000,"75K - 100K",N783&gt;=100000,"Over 100K")</f>
        <v>Under 45K</v>
      </c>
      <c r="P783" s="2" t="s">
        <v>165</v>
      </c>
    </row>
    <row r="784" spans="1:16">
      <c r="A784" s="2" t="s">
        <v>1612</v>
      </c>
      <c r="B784" s="2" t="s">
        <v>1613</v>
      </c>
      <c r="C784" s="2" t="s">
        <v>1614</v>
      </c>
      <c r="D784" s="2" t="s">
        <v>19</v>
      </c>
      <c r="E784" s="16">
        <v>1.152798</v>
      </c>
      <c r="F784" s="3">
        <v>24.1</v>
      </c>
      <c r="G784" s="3">
        <v>24.4</v>
      </c>
      <c r="H784" s="3">
        <v>0</v>
      </c>
      <c r="I784" s="3">
        <v>0</v>
      </c>
      <c r="J784" s="3">
        <v>0.3</v>
      </c>
      <c r="K784" s="3">
        <v>1.2</v>
      </c>
      <c r="L784" s="3" t="s">
        <v>30</v>
      </c>
      <c r="M784" s="3">
        <v>2.2000000000000002</v>
      </c>
      <c r="N784" s="4">
        <v>144580</v>
      </c>
      <c r="O784" s="4" t="str" cm="1">
        <f t="array" ref="O784">_xlfn.IFS(N784&lt;45000,"Under 45K",N784&lt;75000,"45K - 75K",N784&lt;100000,"75K - 100K",N784&gt;=100000,"Over 100K")</f>
        <v>Over 100K</v>
      </c>
      <c r="P784" s="2" t="s">
        <v>92</v>
      </c>
    </row>
    <row r="785" spans="1:16">
      <c r="A785" s="2" t="s">
        <v>1615</v>
      </c>
      <c r="B785" s="2" t="s">
        <v>1616</v>
      </c>
      <c r="C785" s="2" t="s">
        <v>1614</v>
      </c>
      <c r="D785" s="2" t="s">
        <v>19</v>
      </c>
      <c r="E785" s="16">
        <v>0.4845738</v>
      </c>
      <c r="F785" s="3">
        <v>16.899999999999999</v>
      </c>
      <c r="G785" s="3">
        <v>17.600000000000001</v>
      </c>
      <c r="H785" s="3">
        <v>0</v>
      </c>
      <c r="I785" s="3">
        <v>0</v>
      </c>
      <c r="J785" s="3">
        <v>0.7</v>
      </c>
      <c r="K785" s="3">
        <v>4.2</v>
      </c>
      <c r="L785" s="3" t="s">
        <v>30</v>
      </c>
      <c r="M785" s="3">
        <v>1.6</v>
      </c>
      <c r="N785" s="4">
        <v>56750</v>
      </c>
      <c r="O785" s="4" t="str" cm="1">
        <f t="array" ref="O785">_xlfn.IFS(N785&lt;45000,"Under 45K",N785&lt;75000,"45K - 75K",N785&lt;100000,"75K - 100K",N785&gt;=100000,"Over 100K")</f>
        <v>45K - 75K</v>
      </c>
      <c r="P785" s="2" t="s">
        <v>47</v>
      </c>
    </row>
    <row r="786" spans="1:16">
      <c r="A786" s="2" t="s">
        <v>1617</v>
      </c>
      <c r="B786" s="2" t="s">
        <v>1618</v>
      </c>
      <c r="C786" s="2" t="s">
        <v>1614</v>
      </c>
      <c r="D786" s="2" t="s">
        <v>19</v>
      </c>
      <c r="E786" s="16">
        <v>0.39958719999999998</v>
      </c>
      <c r="F786" s="3">
        <v>7.9</v>
      </c>
      <c r="G786" s="3">
        <v>8.1999999999999993</v>
      </c>
      <c r="H786" s="3">
        <v>0</v>
      </c>
      <c r="I786" s="3">
        <v>0</v>
      </c>
      <c r="J786" s="3">
        <v>0.3</v>
      </c>
      <c r="K786" s="3">
        <v>3.7</v>
      </c>
      <c r="L786" s="3">
        <v>1.1000000000000001</v>
      </c>
      <c r="M786" s="3">
        <v>0.8</v>
      </c>
      <c r="N786" s="4">
        <v>58480</v>
      </c>
      <c r="O786" s="4" t="str" cm="1">
        <f t="array" ref="O786">_xlfn.IFS(N786&lt;45000,"Under 45K",N786&lt;75000,"45K - 75K",N786&lt;100000,"75K - 100K",N786&gt;=100000,"Over 100K")</f>
        <v>45K - 75K</v>
      </c>
      <c r="P786" s="2" t="s">
        <v>47</v>
      </c>
    </row>
    <row r="787" spans="1:16">
      <c r="A787" s="2" t="s">
        <v>1619</v>
      </c>
      <c r="B787" s="2" t="s">
        <v>1620</v>
      </c>
      <c r="C787" s="2" t="s">
        <v>1614</v>
      </c>
      <c r="D787" s="2" t="s">
        <v>19</v>
      </c>
      <c r="E787" s="16">
        <v>0</v>
      </c>
      <c r="F787" s="3">
        <v>10.3</v>
      </c>
      <c r="G787" s="3">
        <v>10.8</v>
      </c>
      <c r="H787" s="3">
        <v>0</v>
      </c>
      <c r="I787" s="3">
        <v>0</v>
      </c>
      <c r="J787" s="3">
        <v>0.5</v>
      </c>
      <c r="K787" s="3">
        <v>5.2</v>
      </c>
      <c r="L787" s="3">
        <v>0.8</v>
      </c>
      <c r="M787" s="3">
        <v>1.1000000000000001</v>
      </c>
      <c r="N787" s="4">
        <v>63940</v>
      </c>
      <c r="O787" s="4" t="str" cm="1">
        <f t="array" ref="O787">_xlfn.IFS(N787&lt;45000,"Under 45K",N787&lt;75000,"45K - 75K",N787&lt;100000,"75K - 100K",N787&gt;=100000,"Over 100K")</f>
        <v>45K - 75K</v>
      </c>
      <c r="P787" s="2" t="s">
        <v>47</v>
      </c>
    </row>
    <row r="788" spans="1:16">
      <c r="A788" s="2" t="s">
        <v>1621</v>
      </c>
      <c r="B788" s="2" t="s">
        <v>1622</v>
      </c>
      <c r="C788" s="2" t="s">
        <v>1614</v>
      </c>
      <c r="D788" s="2" t="s">
        <v>19</v>
      </c>
      <c r="E788" s="19">
        <v>0</v>
      </c>
      <c r="F788" s="3">
        <v>609.6</v>
      </c>
      <c r="G788" s="3">
        <v>632.20000000000005</v>
      </c>
      <c r="H788" s="3">
        <v>0.4</v>
      </c>
      <c r="I788" s="3">
        <v>0.4</v>
      </c>
      <c r="J788" s="3">
        <v>22.5</v>
      </c>
      <c r="K788" s="3">
        <v>3.7</v>
      </c>
      <c r="L788" s="3">
        <v>0.8</v>
      </c>
      <c r="M788" s="3">
        <v>61.3</v>
      </c>
      <c r="N788" s="4">
        <v>61890</v>
      </c>
      <c r="O788" s="4" t="str" cm="1">
        <f t="array" ref="O788">_xlfn.IFS(N788&lt;45000,"Under 45K",N788&lt;75000,"45K - 75K",N788&lt;100000,"75K - 100K",N788&gt;=100000,"Over 100K")</f>
        <v>45K - 75K</v>
      </c>
      <c r="P788" s="2" t="s">
        <v>47</v>
      </c>
    </row>
    <row r="789" spans="1:16">
      <c r="A789" s="2" t="s">
        <v>1623</v>
      </c>
      <c r="B789" s="2" t="s">
        <v>1624</v>
      </c>
      <c r="C789" s="2" t="s">
        <v>1614</v>
      </c>
      <c r="D789" s="2" t="s">
        <v>19</v>
      </c>
      <c r="E789" s="19">
        <v>0</v>
      </c>
      <c r="F789" s="3">
        <v>387.3</v>
      </c>
      <c r="G789" s="3">
        <v>388.2</v>
      </c>
      <c r="H789" s="3">
        <v>0.2</v>
      </c>
      <c r="I789" s="3">
        <v>0.2</v>
      </c>
      <c r="J789" s="3">
        <v>0.9</v>
      </c>
      <c r="K789" s="3">
        <v>0.2</v>
      </c>
      <c r="L789" s="3">
        <v>0.4</v>
      </c>
      <c r="M789" s="3">
        <v>61</v>
      </c>
      <c r="N789" s="4">
        <v>47040</v>
      </c>
      <c r="O789" s="4" t="str" cm="1">
        <f t="array" ref="O789">_xlfn.IFS(N789&lt;45000,"Under 45K",N789&lt;75000,"45K - 75K",N789&lt;100000,"75K - 100K",N789&gt;=100000,"Over 100K")</f>
        <v>45K - 75K</v>
      </c>
      <c r="P789" s="2" t="s">
        <v>47</v>
      </c>
    </row>
    <row r="790" spans="1:16">
      <c r="A790" s="2" t="s">
        <v>1625</v>
      </c>
      <c r="B790" s="2" t="s">
        <v>1626</v>
      </c>
      <c r="C790" s="2" t="s">
        <v>1614</v>
      </c>
      <c r="D790" s="2" t="s">
        <v>19</v>
      </c>
      <c r="E790" s="19">
        <v>0</v>
      </c>
      <c r="F790" s="3">
        <v>158.80000000000001</v>
      </c>
      <c r="G790" s="3">
        <v>165.6</v>
      </c>
      <c r="H790" s="3">
        <v>0.1</v>
      </c>
      <c r="I790" s="3">
        <v>0.1</v>
      </c>
      <c r="J790" s="3">
        <v>6.8</v>
      </c>
      <c r="K790" s="3">
        <v>4.3</v>
      </c>
      <c r="L790" s="3">
        <v>1.8</v>
      </c>
      <c r="M790" s="3">
        <v>20.9</v>
      </c>
      <c r="N790" s="4">
        <v>57440</v>
      </c>
      <c r="O790" s="4" t="str" cm="1">
        <f t="array" ref="O790">_xlfn.IFS(N790&lt;45000,"Under 45K",N790&lt;75000,"45K - 75K",N790&lt;100000,"75K - 100K",N790&gt;=100000,"Over 100K")</f>
        <v>45K - 75K</v>
      </c>
      <c r="P790" s="2" t="s">
        <v>47</v>
      </c>
    </row>
    <row r="791" spans="1:16">
      <c r="A791" s="2" t="s">
        <v>1627</v>
      </c>
      <c r="B791" s="2" t="s">
        <v>1628</v>
      </c>
      <c r="C791" s="2" t="s">
        <v>1614</v>
      </c>
      <c r="D791" s="2" t="s">
        <v>19</v>
      </c>
      <c r="E791" s="19">
        <v>0</v>
      </c>
      <c r="F791" s="3">
        <v>243.9</v>
      </c>
      <c r="G791" s="3">
        <v>260.3</v>
      </c>
      <c r="H791" s="3">
        <v>0.1</v>
      </c>
      <c r="I791" s="3">
        <v>0.1</v>
      </c>
      <c r="J791" s="3">
        <v>16.399999999999999</v>
      </c>
      <c r="K791" s="3">
        <v>6.7</v>
      </c>
      <c r="L791" s="3">
        <v>3.1</v>
      </c>
      <c r="M791" s="3">
        <v>36.299999999999997</v>
      </c>
      <c r="N791" s="4">
        <v>36670</v>
      </c>
      <c r="O791" s="4" t="str" cm="1">
        <f t="array" ref="O791">_xlfn.IFS(N791&lt;45000,"Under 45K",N791&lt;75000,"45K - 75K",N791&lt;100000,"75K - 100K",N791&gt;=100000,"Over 100K")</f>
        <v>Under 45K</v>
      </c>
      <c r="P791" s="2" t="s">
        <v>165</v>
      </c>
    </row>
    <row r="792" spans="1:16">
      <c r="A792" s="2" t="s">
        <v>1629</v>
      </c>
      <c r="B792" s="2" t="s">
        <v>1630</v>
      </c>
      <c r="C792" s="2" t="s">
        <v>1614</v>
      </c>
      <c r="D792" s="2" t="s">
        <v>19</v>
      </c>
      <c r="E792" s="19">
        <v>0</v>
      </c>
      <c r="F792" s="3">
        <v>204</v>
      </c>
      <c r="G792" s="3">
        <v>226.6</v>
      </c>
      <c r="H792" s="3">
        <v>0.1</v>
      </c>
      <c r="I792" s="3">
        <v>0.1</v>
      </c>
      <c r="J792" s="3">
        <v>22.6</v>
      </c>
      <c r="K792" s="3">
        <v>11.1</v>
      </c>
      <c r="L792" s="3">
        <v>91.5</v>
      </c>
      <c r="M792" s="3">
        <v>22.6</v>
      </c>
      <c r="N792" s="4">
        <v>36220</v>
      </c>
      <c r="O792" s="4" t="str" cm="1">
        <f t="array" ref="O792">_xlfn.IFS(N792&lt;45000,"Under 45K",N792&lt;75000,"45K - 75K",N792&lt;100000,"75K - 100K",N792&gt;=100000,"Over 100K")</f>
        <v>Under 45K</v>
      </c>
      <c r="P792" s="2" t="s">
        <v>165</v>
      </c>
    </row>
    <row r="793" spans="1:16">
      <c r="A793" s="2" t="s">
        <v>1631</v>
      </c>
      <c r="B793" s="2" t="s">
        <v>1632</v>
      </c>
      <c r="C793" s="2" t="s">
        <v>1614</v>
      </c>
      <c r="D793" s="2" t="s">
        <v>19</v>
      </c>
      <c r="E793" s="19">
        <v>0</v>
      </c>
      <c r="F793" s="3">
        <v>79.3</v>
      </c>
      <c r="G793" s="3">
        <v>84</v>
      </c>
      <c r="H793" s="3">
        <v>0</v>
      </c>
      <c r="I793" s="3">
        <v>0</v>
      </c>
      <c r="J793" s="3">
        <v>4.7</v>
      </c>
      <c r="K793" s="3">
        <v>6</v>
      </c>
      <c r="L793" s="3">
        <v>34.799999999999997</v>
      </c>
      <c r="M793" s="3">
        <v>11.1</v>
      </c>
      <c r="N793" s="4">
        <v>36260</v>
      </c>
      <c r="O793" s="4" t="str" cm="1">
        <f t="array" ref="O793">_xlfn.IFS(N793&lt;45000,"Under 45K",N793&lt;75000,"45K - 75K",N793&lt;100000,"75K - 100K",N793&gt;=100000,"Over 100K")</f>
        <v>Under 45K</v>
      </c>
      <c r="P793" s="2" t="s">
        <v>165</v>
      </c>
    </row>
    <row r="794" spans="1:16">
      <c r="A794" s="2" t="s">
        <v>1633</v>
      </c>
      <c r="B794" s="2" t="s">
        <v>1634</v>
      </c>
      <c r="C794" s="2" t="s">
        <v>1614</v>
      </c>
      <c r="D794" s="2" t="s">
        <v>19</v>
      </c>
      <c r="E794" s="19">
        <v>0</v>
      </c>
      <c r="F794" s="3">
        <v>11</v>
      </c>
      <c r="G794" s="3">
        <v>11.1</v>
      </c>
      <c r="H794" s="3">
        <v>0</v>
      </c>
      <c r="I794" s="3">
        <v>0</v>
      </c>
      <c r="J794" s="3">
        <v>0.1</v>
      </c>
      <c r="K794" s="3">
        <v>1</v>
      </c>
      <c r="L794" s="3" t="s">
        <v>30</v>
      </c>
      <c r="M794" s="3">
        <v>1</v>
      </c>
      <c r="N794" s="4">
        <v>65480</v>
      </c>
      <c r="O794" s="4" t="str" cm="1">
        <f t="array" ref="O794">_xlfn.IFS(N794&lt;45000,"Under 45K",N794&lt;75000,"45K - 75K",N794&lt;100000,"75K - 100K",N794&gt;=100000,"Over 100K")</f>
        <v>45K - 75K</v>
      </c>
      <c r="P794" s="2" t="s">
        <v>47</v>
      </c>
    </row>
    <row r="795" spans="1:16">
      <c r="A795" s="2" t="s">
        <v>1635</v>
      </c>
      <c r="B795" s="2" t="s">
        <v>1636</v>
      </c>
      <c r="C795" s="2" t="s">
        <v>1614</v>
      </c>
      <c r="D795" s="2" t="s">
        <v>19</v>
      </c>
      <c r="E795" s="19">
        <v>0</v>
      </c>
      <c r="F795" s="3">
        <v>1.6</v>
      </c>
      <c r="G795" s="3">
        <v>1.6</v>
      </c>
      <c r="H795" s="3">
        <v>0</v>
      </c>
      <c r="I795" s="3">
        <v>0</v>
      </c>
      <c r="J795" s="3">
        <v>0.1</v>
      </c>
      <c r="K795" s="3">
        <v>3.9</v>
      </c>
      <c r="L795" s="3" t="s">
        <v>30</v>
      </c>
      <c r="M795" s="3">
        <v>0.2</v>
      </c>
      <c r="N795" s="4">
        <v>49330</v>
      </c>
      <c r="O795" s="4" t="str" cm="1">
        <f t="array" ref="O795">_xlfn.IFS(N795&lt;45000,"Under 45K",N795&lt;75000,"45K - 75K",N795&lt;100000,"75K - 100K",N795&gt;=100000,"Over 100K")</f>
        <v>45K - 75K</v>
      </c>
      <c r="P795" s="2" t="s">
        <v>47</v>
      </c>
    </row>
    <row r="796" spans="1:16">
      <c r="A796" s="2" t="s">
        <v>1637</v>
      </c>
      <c r="B796" s="2" t="s">
        <v>1638</v>
      </c>
      <c r="C796" s="2" t="s">
        <v>1614</v>
      </c>
      <c r="D796" s="2" t="s">
        <v>19</v>
      </c>
      <c r="E796" s="16">
        <v>0</v>
      </c>
      <c r="F796" s="3">
        <v>28</v>
      </c>
      <c r="G796" s="3">
        <v>29.5</v>
      </c>
      <c r="H796" s="3">
        <v>0</v>
      </c>
      <c r="I796" s="3">
        <v>0</v>
      </c>
      <c r="J796" s="3">
        <v>1.4</v>
      </c>
      <c r="K796" s="3">
        <v>5.0999999999999996</v>
      </c>
      <c r="L796" s="3">
        <v>0.8</v>
      </c>
      <c r="M796" s="3">
        <v>4.3</v>
      </c>
      <c r="N796" s="4">
        <v>41540</v>
      </c>
      <c r="O796" s="4" t="str" cm="1">
        <f t="array" ref="O796">_xlfn.IFS(N796&lt;45000,"Under 45K",N796&lt;75000,"45K - 75K",N796&lt;100000,"75K - 100K",N796&gt;=100000,"Over 100K")</f>
        <v>Under 45K</v>
      </c>
      <c r="P796" s="2" t="s">
        <v>47</v>
      </c>
    </row>
    <row r="797" spans="1:16">
      <c r="A797" s="2" t="s">
        <v>1639</v>
      </c>
      <c r="B797" s="2" t="s">
        <v>1640</v>
      </c>
      <c r="C797" s="2" t="s">
        <v>1614</v>
      </c>
      <c r="D797" s="2" t="s">
        <v>19</v>
      </c>
      <c r="E797" s="19">
        <v>0</v>
      </c>
      <c r="F797" s="3">
        <v>11.5</v>
      </c>
      <c r="G797" s="3">
        <v>11.9</v>
      </c>
      <c r="H797" s="3">
        <v>0</v>
      </c>
      <c r="I797" s="3">
        <v>0</v>
      </c>
      <c r="J797" s="3">
        <v>0.4</v>
      </c>
      <c r="K797" s="3">
        <v>3.8</v>
      </c>
      <c r="L797" s="3">
        <v>2.9</v>
      </c>
      <c r="M797" s="3">
        <v>1.2</v>
      </c>
      <c r="N797" s="4">
        <v>39630</v>
      </c>
      <c r="O797" s="4" t="str" cm="1">
        <f t="array" ref="O797">_xlfn.IFS(N797&lt;45000,"Under 45K",N797&lt;75000,"45K - 75K",N797&lt;100000,"75K - 100K",N797&gt;=100000,"Over 100K")</f>
        <v>Under 45K</v>
      </c>
      <c r="P797" s="2" t="s">
        <v>47</v>
      </c>
    </row>
    <row r="798" spans="1:16">
      <c r="A798" s="2" t="s">
        <v>1641</v>
      </c>
      <c r="B798" s="2" t="s">
        <v>1642</v>
      </c>
      <c r="C798" s="2" t="s">
        <v>1614</v>
      </c>
      <c r="D798" s="2" t="s">
        <v>19</v>
      </c>
      <c r="E798" s="19">
        <v>0</v>
      </c>
      <c r="F798" s="3">
        <v>2764.8</v>
      </c>
      <c r="G798" s="3">
        <v>2999.8</v>
      </c>
      <c r="H798" s="3">
        <v>1.6</v>
      </c>
      <c r="I798" s="3">
        <v>1.7</v>
      </c>
      <c r="J798" s="3">
        <v>235</v>
      </c>
      <c r="K798" s="3">
        <v>8.5</v>
      </c>
      <c r="L798" s="3">
        <v>0.2</v>
      </c>
      <c r="M798" s="3">
        <v>472.3</v>
      </c>
      <c r="N798" s="4">
        <v>37090</v>
      </c>
      <c r="O798" s="4" t="str" cm="1">
        <f t="array" ref="O798">_xlfn.IFS(N798&lt;45000,"Under 45K",N798&lt;75000,"45K - 75K",N798&lt;100000,"75K - 100K",N798&gt;=100000,"Over 100K")</f>
        <v>Under 45K</v>
      </c>
      <c r="P798" s="2" t="s">
        <v>165</v>
      </c>
    </row>
    <row r="799" spans="1:16">
      <c r="A799" s="2" t="s">
        <v>1643</v>
      </c>
      <c r="B799" s="2" t="s">
        <v>1644</v>
      </c>
      <c r="C799" s="2" t="s">
        <v>1614</v>
      </c>
      <c r="D799" s="2" t="s">
        <v>19</v>
      </c>
      <c r="E799" s="19">
        <v>0</v>
      </c>
      <c r="F799" s="3">
        <v>27.7</v>
      </c>
      <c r="G799" s="3">
        <v>28.9</v>
      </c>
      <c r="H799" s="3">
        <v>0</v>
      </c>
      <c r="I799" s="3">
        <v>0</v>
      </c>
      <c r="J799" s="3">
        <v>1.2</v>
      </c>
      <c r="K799" s="3">
        <v>4.3</v>
      </c>
      <c r="L799" s="3">
        <v>6.1</v>
      </c>
      <c r="M799" s="3">
        <v>3.1</v>
      </c>
      <c r="N799" s="4">
        <v>41690</v>
      </c>
      <c r="O799" s="4" t="str" cm="1">
        <f t="array" ref="O799">_xlfn.IFS(N799&lt;45000,"Under 45K",N799&lt;75000,"45K - 75K",N799&lt;100000,"75K - 100K",N799&gt;=100000,"Over 100K")</f>
        <v>Under 45K</v>
      </c>
      <c r="P799" s="2" t="s">
        <v>165</v>
      </c>
    </row>
    <row r="800" spans="1:16">
      <c r="A800" s="2" t="s">
        <v>1645</v>
      </c>
      <c r="B800" s="2" t="s">
        <v>1646</v>
      </c>
      <c r="C800" s="2" t="s">
        <v>1614</v>
      </c>
      <c r="D800" s="2" t="s">
        <v>19</v>
      </c>
      <c r="E800" s="16">
        <v>-0.18173320000000001</v>
      </c>
      <c r="F800" s="3">
        <v>55.4</v>
      </c>
      <c r="G800" s="3">
        <v>58.3</v>
      </c>
      <c r="H800" s="3">
        <v>0</v>
      </c>
      <c r="I800" s="3">
        <v>0</v>
      </c>
      <c r="J800" s="3">
        <v>2.8</v>
      </c>
      <c r="K800" s="3">
        <v>5.0999999999999996</v>
      </c>
      <c r="L800" s="3">
        <v>3.7</v>
      </c>
      <c r="M800" s="3">
        <v>6.6</v>
      </c>
      <c r="N800" s="4">
        <v>122670</v>
      </c>
      <c r="O800" s="4" t="str" cm="1">
        <f t="array" ref="O800">_xlfn.IFS(N800&lt;45000,"Under 45K",N800&lt;75000,"45K - 75K",N800&lt;100000,"75K - 100K",N800&gt;=100000,"Over 100K")</f>
        <v>Over 100K</v>
      </c>
      <c r="P800" s="2" t="s">
        <v>152</v>
      </c>
    </row>
    <row r="801" spans="1:16">
      <c r="A801" s="2" t="s">
        <v>1647</v>
      </c>
      <c r="B801" s="2" t="s">
        <v>1648</v>
      </c>
      <c r="C801" s="2" t="s">
        <v>1614</v>
      </c>
      <c r="D801" s="2" t="s">
        <v>19</v>
      </c>
      <c r="E801" s="16">
        <v>-0.18376000000000001</v>
      </c>
      <c r="F801" s="3">
        <v>25.7</v>
      </c>
      <c r="G801" s="3">
        <v>26.1</v>
      </c>
      <c r="H801" s="3">
        <v>0</v>
      </c>
      <c r="I801" s="3">
        <v>0</v>
      </c>
      <c r="J801" s="3">
        <v>0.4</v>
      </c>
      <c r="K801" s="3">
        <v>1.7</v>
      </c>
      <c r="L801" s="3">
        <v>6.3</v>
      </c>
      <c r="M801" s="3">
        <v>2.5</v>
      </c>
      <c r="N801" s="4">
        <v>85750</v>
      </c>
      <c r="O801" s="4" t="str" cm="1">
        <f t="array" ref="O801">_xlfn.IFS(N801&lt;45000,"Under 45K",N801&lt;75000,"45K - 75K",N801&lt;100000,"75K - 100K",N801&gt;=100000,"Over 100K")</f>
        <v>75K - 100K</v>
      </c>
      <c r="P801" s="2" t="s">
        <v>47</v>
      </c>
    </row>
    <row r="802" spans="1:16">
      <c r="A802" s="2" t="s">
        <v>1649</v>
      </c>
      <c r="B802" s="2" t="s">
        <v>1650</v>
      </c>
      <c r="C802" s="2" t="s">
        <v>1614</v>
      </c>
      <c r="D802" s="2" t="s">
        <v>19</v>
      </c>
      <c r="E802" s="16">
        <v>-0.20706260000000001</v>
      </c>
      <c r="F802" s="3">
        <v>100</v>
      </c>
      <c r="G802" s="3">
        <v>103.9</v>
      </c>
      <c r="H802" s="3">
        <v>0.1</v>
      </c>
      <c r="I802" s="3">
        <v>0.1</v>
      </c>
      <c r="J802" s="3">
        <v>3.9</v>
      </c>
      <c r="K802" s="3">
        <v>3.9</v>
      </c>
      <c r="L802" s="3" t="s">
        <v>30</v>
      </c>
      <c r="M802" s="3">
        <v>11.7</v>
      </c>
      <c r="N802" s="4">
        <v>226600</v>
      </c>
      <c r="O802" s="4" t="str" cm="1">
        <f t="array" ref="O802">_xlfn.IFS(N802&lt;45000,"Under 45K",N802&lt;75000,"45K - 75K",N802&lt;100000,"75K - 100K",N802&gt;=100000,"Over 100K")</f>
        <v>Over 100K</v>
      </c>
      <c r="P802" s="2" t="s">
        <v>23</v>
      </c>
    </row>
    <row r="803" spans="1:16">
      <c r="A803" s="2" t="s">
        <v>1651</v>
      </c>
      <c r="B803" s="2" t="s">
        <v>1652</v>
      </c>
      <c r="C803" s="2" t="s">
        <v>1614</v>
      </c>
      <c r="D803" s="2" t="s">
        <v>19</v>
      </c>
      <c r="E803" s="16">
        <v>-0.37522489999999997</v>
      </c>
      <c r="F803" s="3">
        <v>25.6</v>
      </c>
      <c r="G803" s="3">
        <v>26.8</v>
      </c>
      <c r="H803" s="3">
        <v>0</v>
      </c>
      <c r="I803" s="3">
        <v>0</v>
      </c>
      <c r="J803" s="3">
        <v>1.2</v>
      </c>
      <c r="K803" s="3">
        <v>4.7</v>
      </c>
      <c r="L803" s="3" t="s">
        <v>30</v>
      </c>
      <c r="M803" s="3">
        <v>4.0999999999999996</v>
      </c>
      <c r="N803" s="4">
        <v>37560</v>
      </c>
      <c r="O803" s="4" t="str" cm="1">
        <f t="array" ref="O803">_xlfn.IFS(N803&lt;45000,"Under 45K",N803&lt;75000,"45K - 75K",N803&lt;100000,"75K - 100K",N803&gt;=100000,"Over 100K")</f>
        <v>Under 45K</v>
      </c>
      <c r="P803" s="2" t="s">
        <v>47</v>
      </c>
    </row>
    <row r="804" spans="1:16">
      <c r="A804" s="2" t="s">
        <v>1653</v>
      </c>
      <c r="B804" s="2" t="s">
        <v>1654</v>
      </c>
      <c r="C804" s="2" t="s">
        <v>1614</v>
      </c>
      <c r="D804" s="2" t="s">
        <v>19</v>
      </c>
      <c r="E804" s="16">
        <v>-0.42818679999999998</v>
      </c>
      <c r="F804" s="3">
        <v>40.700000000000003</v>
      </c>
      <c r="G804" s="3">
        <v>40.9</v>
      </c>
      <c r="H804" s="3">
        <v>0</v>
      </c>
      <c r="I804" s="3">
        <v>0</v>
      </c>
      <c r="J804" s="3">
        <v>0.2</v>
      </c>
      <c r="K804" s="3">
        <v>0.5</v>
      </c>
      <c r="L804" s="3">
        <v>7.1</v>
      </c>
      <c r="M804" s="3">
        <v>4.3</v>
      </c>
      <c r="N804" s="4">
        <v>85540</v>
      </c>
      <c r="O804" s="4" t="str" cm="1">
        <f t="array" ref="O804">_xlfn.IFS(N804&lt;45000,"Under 45K",N804&lt;75000,"45K - 75K",N804&lt;100000,"75K - 100K",N804&gt;=100000,"Over 100K")</f>
        <v>75K - 100K</v>
      </c>
      <c r="P804" s="2" t="s">
        <v>152</v>
      </c>
    </row>
    <row r="805" spans="1:16">
      <c r="A805" s="2" t="s">
        <v>1655</v>
      </c>
      <c r="B805" s="2" t="s">
        <v>1656</v>
      </c>
      <c r="C805" s="2" t="s">
        <v>1614</v>
      </c>
      <c r="D805" s="2" t="s">
        <v>19</v>
      </c>
      <c r="E805" s="16">
        <v>-0.4662731</v>
      </c>
      <c r="F805" s="3">
        <v>36.799999999999997</v>
      </c>
      <c r="G805" s="3">
        <v>37.200000000000003</v>
      </c>
      <c r="H805" s="3">
        <v>0</v>
      </c>
      <c r="I805" s="3">
        <v>0</v>
      </c>
      <c r="J805" s="3">
        <v>0.4</v>
      </c>
      <c r="K805" s="3">
        <v>1.1000000000000001</v>
      </c>
      <c r="L805" s="3" t="s">
        <v>30</v>
      </c>
      <c r="M805" s="3">
        <v>3.1</v>
      </c>
      <c r="N805" s="4">
        <v>74080</v>
      </c>
      <c r="O805" s="4" t="str" cm="1">
        <f t="array" ref="O805">_xlfn.IFS(N805&lt;45000,"Under 45K",N805&lt;75000,"45K - 75K",N805&lt;100000,"75K - 100K",N805&gt;=100000,"Over 100K")</f>
        <v>45K - 75K</v>
      </c>
      <c r="P805" s="2" t="s">
        <v>47</v>
      </c>
    </row>
    <row r="806" spans="1:16">
      <c r="A806" s="2" t="s">
        <v>1657</v>
      </c>
      <c r="B806" s="2" t="s">
        <v>1658</v>
      </c>
      <c r="C806" s="2" t="s">
        <v>1614</v>
      </c>
      <c r="D806" s="2" t="s">
        <v>19</v>
      </c>
      <c r="E806" s="16">
        <v>-0.49774030000000002</v>
      </c>
      <c r="F806" s="3">
        <v>27</v>
      </c>
      <c r="G806" s="3">
        <v>27.2</v>
      </c>
      <c r="H806" s="3">
        <v>0</v>
      </c>
      <c r="I806" s="3">
        <v>0</v>
      </c>
      <c r="J806" s="3">
        <v>0.2</v>
      </c>
      <c r="K806" s="3">
        <v>0.7</v>
      </c>
      <c r="L806" s="3" t="s">
        <v>30</v>
      </c>
      <c r="M806" s="3">
        <v>2.2000000000000002</v>
      </c>
      <c r="N806" s="4">
        <v>77400</v>
      </c>
      <c r="O806" s="4" t="str" cm="1">
        <f t="array" ref="O806">_xlfn.IFS(N806&lt;45000,"Under 45K",N806&lt;75000,"45K - 75K",N806&lt;100000,"75K - 100K",N806&gt;=100000,"Over 100K")</f>
        <v>75K - 100K</v>
      </c>
      <c r="P806" s="2" t="s">
        <v>47</v>
      </c>
    </row>
    <row r="807" spans="1:16">
      <c r="A807" s="2" t="s">
        <v>1659</v>
      </c>
      <c r="B807" s="2" t="s">
        <v>1660</v>
      </c>
      <c r="C807" s="2" t="s">
        <v>1614</v>
      </c>
      <c r="D807" s="2" t="s">
        <v>19</v>
      </c>
      <c r="E807" s="16">
        <v>-0.52649509999999999</v>
      </c>
      <c r="F807" s="3">
        <v>8.8000000000000007</v>
      </c>
      <c r="G807" s="3">
        <v>9</v>
      </c>
      <c r="H807" s="3">
        <v>0</v>
      </c>
      <c r="I807" s="3">
        <v>0</v>
      </c>
      <c r="J807" s="3">
        <v>0.1</v>
      </c>
      <c r="K807" s="3">
        <v>1.6</v>
      </c>
      <c r="L807" s="3" t="s">
        <v>30</v>
      </c>
      <c r="M807" s="3">
        <v>1.1000000000000001</v>
      </c>
      <c r="N807" s="4">
        <v>101320</v>
      </c>
      <c r="O807" s="4" t="str" cm="1">
        <f t="array" ref="O807">_xlfn.IFS(N807&lt;45000,"Under 45K",N807&lt;75000,"45K - 75K",N807&lt;100000,"75K - 100K",N807&gt;=100000,"Over 100K")</f>
        <v>Over 100K</v>
      </c>
      <c r="P807" s="2" t="s">
        <v>152</v>
      </c>
    </row>
    <row r="808" spans="1:16">
      <c r="A808" s="2" t="s">
        <v>1661</v>
      </c>
      <c r="B808" s="2" t="s">
        <v>1662</v>
      </c>
      <c r="C808" s="2" t="s">
        <v>1614</v>
      </c>
      <c r="D808" s="2" t="s">
        <v>19</v>
      </c>
      <c r="E808" s="16">
        <v>-0.6155429</v>
      </c>
      <c r="F808" s="3">
        <v>9.6</v>
      </c>
      <c r="G808" s="3">
        <v>9.9</v>
      </c>
      <c r="H808" s="3">
        <v>0</v>
      </c>
      <c r="I808" s="3">
        <v>0</v>
      </c>
      <c r="J808" s="3">
        <v>0.3</v>
      </c>
      <c r="K808" s="3">
        <v>3.4</v>
      </c>
      <c r="L808" s="3" t="s">
        <v>30</v>
      </c>
      <c r="M808" s="3">
        <v>0.9</v>
      </c>
      <c r="N808" s="4">
        <v>84830</v>
      </c>
      <c r="O808" s="4" t="str" cm="1">
        <f t="array" ref="O808">_xlfn.IFS(N808&lt;45000,"Under 45K",N808&lt;75000,"45K - 75K",N808&lt;100000,"75K - 100K",N808&gt;=100000,"Over 100K")</f>
        <v>75K - 100K</v>
      </c>
      <c r="P808" s="2" t="s">
        <v>47</v>
      </c>
    </row>
    <row r="809" spans="1:16">
      <c r="A809" s="2" t="s">
        <v>1663</v>
      </c>
      <c r="B809" s="2" t="s">
        <v>1664</v>
      </c>
      <c r="C809" s="2" t="s">
        <v>1614</v>
      </c>
      <c r="D809" s="2" t="s">
        <v>19</v>
      </c>
      <c r="E809" s="16">
        <v>-0.63221590000000005</v>
      </c>
      <c r="F809" s="3">
        <v>2.9</v>
      </c>
      <c r="G809" s="3">
        <v>2.8</v>
      </c>
      <c r="H809" s="3">
        <v>0</v>
      </c>
      <c r="I809" s="3">
        <v>0</v>
      </c>
      <c r="J809" s="3">
        <v>-0.1</v>
      </c>
      <c r="K809" s="3">
        <v>-3.3</v>
      </c>
      <c r="L809" s="3" t="s">
        <v>30</v>
      </c>
      <c r="M809" s="3">
        <v>0.3</v>
      </c>
      <c r="N809" s="4">
        <v>58490</v>
      </c>
      <c r="O809" s="4" t="str" cm="1">
        <f t="array" ref="O809">_xlfn.IFS(N809&lt;45000,"Under 45K",N809&lt;75000,"45K - 75K",N809&lt;100000,"75K - 100K",N809&gt;=100000,"Over 100K")</f>
        <v>45K - 75K</v>
      </c>
      <c r="P809" s="2" t="s">
        <v>47</v>
      </c>
    </row>
    <row r="810" spans="1:16">
      <c r="A810" s="2" t="s">
        <v>1665</v>
      </c>
      <c r="B810" s="2" t="s">
        <v>1666</v>
      </c>
      <c r="C810" s="2" t="s">
        <v>1614</v>
      </c>
      <c r="D810" s="2" t="s">
        <v>19</v>
      </c>
      <c r="E810" s="16">
        <v>-0.69099920000000004</v>
      </c>
      <c r="F810" s="3">
        <v>5.4</v>
      </c>
      <c r="G810" s="3">
        <v>5.3</v>
      </c>
      <c r="H810" s="3">
        <v>0</v>
      </c>
      <c r="I810" s="3">
        <v>0</v>
      </c>
      <c r="J810" s="3">
        <v>-0.1</v>
      </c>
      <c r="K810" s="3">
        <v>-1.3</v>
      </c>
      <c r="L810" s="3">
        <v>3.6</v>
      </c>
      <c r="M810" s="3">
        <v>0.6</v>
      </c>
      <c r="N810" s="4">
        <v>71510</v>
      </c>
      <c r="O810" s="4" t="str" cm="1">
        <f t="array" ref="O810">_xlfn.IFS(N810&lt;45000,"Under 45K",N810&lt;75000,"45K - 75K",N810&lt;100000,"75K - 100K",N810&gt;=100000,"Over 100K")</f>
        <v>45K - 75K</v>
      </c>
      <c r="P810" s="2" t="s">
        <v>47</v>
      </c>
    </row>
    <row r="811" spans="1:16">
      <c r="A811" s="2" t="s">
        <v>1667</v>
      </c>
      <c r="B811" s="2" t="s">
        <v>1668</v>
      </c>
      <c r="C811" s="2" t="s">
        <v>1614</v>
      </c>
      <c r="D811" s="2" t="s">
        <v>19</v>
      </c>
      <c r="E811" s="16">
        <v>-0.72930870000000003</v>
      </c>
      <c r="F811" s="3">
        <v>451.5</v>
      </c>
      <c r="G811" s="3">
        <v>491.3</v>
      </c>
      <c r="H811" s="3">
        <v>0.3</v>
      </c>
      <c r="I811" s="3">
        <v>0.3</v>
      </c>
      <c r="J811" s="3">
        <v>39.799999999999997</v>
      </c>
      <c r="K811" s="3">
        <v>8.8000000000000007</v>
      </c>
      <c r="L811" s="3">
        <v>6.9</v>
      </c>
      <c r="M811" s="3">
        <v>51.3</v>
      </c>
      <c r="N811" s="4">
        <v>37130</v>
      </c>
      <c r="O811" s="4" t="str" cm="1">
        <f t="array" ref="O811">_xlfn.IFS(N811&lt;45000,"Under 45K",N811&lt;75000,"45K - 75K",N811&lt;100000,"75K - 100K",N811&gt;=100000,"Over 100K")</f>
        <v>Under 45K</v>
      </c>
      <c r="P811" s="2" t="s">
        <v>47</v>
      </c>
    </row>
    <row r="812" spans="1:16">
      <c r="A812" s="2" t="s">
        <v>1669</v>
      </c>
      <c r="B812" s="2" t="s">
        <v>1670</v>
      </c>
      <c r="C812" s="2" t="s">
        <v>1614</v>
      </c>
      <c r="D812" s="2" t="s">
        <v>19</v>
      </c>
      <c r="E812" s="16">
        <v>-0.75544319999999998</v>
      </c>
      <c r="F812" s="3">
        <v>29.1</v>
      </c>
      <c r="G812" s="3">
        <v>28.1</v>
      </c>
      <c r="H812" s="3">
        <v>0</v>
      </c>
      <c r="I812" s="3">
        <v>0</v>
      </c>
      <c r="J812" s="3">
        <v>-1</v>
      </c>
      <c r="K812" s="3">
        <v>-3.4</v>
      </c>
      <c r="L812" s="3">
        <v>8.9</v>
      </c>
      <c r="M812" s="3">
        <v>2.6</v>
      </c>
      <c r="N812" s="4">
        <v>41230</v>
      </c>
      <c r="O812" s="4" t="str" cm="1">
        <f t="array" ref="O812">_xlfn.IFS(N812&lt;45000,"Under 45K",N812&lt;75000,"45K - 75K",N812&lt;100000,"75K - 100K",N812&gt;=100000,"Over 100K")</f>
        <v>Under 45K</v>
      </c>
      <c r="P812" s="2" t="s">
        <v>165</v>
      </c>
    </row>
    <row r="813" spans="1:16">
      <c r="A813" s="2" t="s">
        <v>1671</v>
      </c>
      <c r="B813" s="2" t="s">
        <v>1672</v>
      </c>
      <c r="C813" s="2" t="s">
        <v>1614</v>
      </c>
      <c r="D813" s="2" t="s">
        <v>19</v>
      </c>
      <c r="E813" s="16">
        <v>-0.76211830000000003</v>
      </c>
      <c r="F813" s="3">
        <v>130.80000000000001</v>
      </c>
      <c r="G813" s="3">
        <v>142.9</v>
      </c>
      <c r="H813" s="3">
        <v>0.1</v>
      </c>
      <c r="I813" s="3">
        <v>0.1</v>
      </c>
      <c r="J813" s="3">
        <v>12.1</v>
      </c>
      <c r="K813" s="3">
        <v>9.1999999999999993</v>
      </c>
      <c r="L813" s="3" t="s">
        <v>30</v>
      </c>
      <c r="M813" s="3">
        <v>19.8</v>
      </c>
      <c r="N813" s="4">
        <v>67130</v>
      </c>
      <c r="O813" s="4" t="str" cm="1">
        <f t="array" ref="O813">_xlfn.IFS(N813&lt;45000,"Under 45K",N813&lt;75000,"45K - 75K",N813&lt;100000,"75K - 100K",N813&gt;=100000,"Over 100K")</f>
        <v>45K - 75K</v>
      </c>
      <c r="P813" s="2" t="s">
        <v>47</v>
      </c>
    </row>
    <row r="814" spans="1:16">
      <c r="A814" s="2" t="s">
        <v>1673</v>
      </c>
      <c r="B814" s="2" t="s">
        <v>1674</v>
      </c>
      <c r="C814" s="2" t="s">
        <v>1614</v>
      </c>
      <c r="D814" s="2" t="s">
        <v>19</v>
      </c>
      <c r="E814" s="16">
        <v>-0.82987029999999995</v>
      </c>
      <c r="F814" s="3">
        <v>12.3</v>
      </c>
      <c r="G814" s="3">
        <v>12.1</v>
      </c>
      <c r="H814" s="3">
        <v>0</v>
      </c>
      <c r="I814" s="3">
        <v>0</v>
      </c>
      <c r="J814" s="3">
        <v>-0.2</v>
      </c>
      <c r="K814" s="3">
        <v>-1.3</v>
      </c>
      <c r="L814" s="3" t="s">
        <v>30</v>
      </c>
      <c r="M814" s="3">
        <v>1.4</v>
      </c>
      <c r="N814" s="4">
        <v>34330</v>
      </c>
      <c r="O814" s="4" t="str" cm="1">
        <f t="array" ref="O814">_xlfn.IFS(N814&lt;45000,"Under 45K",N814&lt;75000,"45K - 75K",N814&lt;100000,"75K - 100K",N814&gt;=100000,"Over 100K")</f>
        <v>Under 45K</v>
      </c>
      <c r="P814" s="2" t="s">
        <v>47</v>
      </c>
    </row>
    <row r="815" spans="1:16">
      <c r="A815" s="2" t="s">
        <v>1675</v>
      </c>
      <c r="B815" s="2" t="s">
        <v>1676</v>
      </c>
      <c r="C815" s="2" t="s">
        <v>1614</v>
      </c>
      <c r="D815" s="2" t="s">
        <v>19</v>
      </c>
      <c r="E815" s="16">
        <v>-0.83209069999999996</v>
      </c>
      <c r="F815" s="3">
        <v>3.1</v>
      </c>
      <c r="G815" s="3">
        <v>3.1</v>
      </c>
      <c r="H815" s="3">
        <v>0</v>
      </c>
      <c r="I815" s="3">
        <v>0</v>
      </c>
      <c r="J815" s="3">
        <v>0</v>
      </c>
      <c r="K815" s="3">
        <v>0.3</v>
      </c>
      <c r="L815" s="3" t="s">
        <v>30</v>
      </c>
      <c r="M815" s="3">
        <v>0.2</v>
      </c>
      <c r="N815" s="4">
        <v>58030</v>
      </c>
      <c r="O815" s="4" t="str" cm="1">
        <f t="array" ref="O815">_xlfn.IFS(N815&lt;45000,"Under 45K",N815&lt;75000,"45K - 75K",N815&lt;100000,"75K - 100K",N815&gt;=100000,"Over 100K")</f>
        <v>45K - 75K</v>
      </c>
      <c r="P815" s="2" t="s">
        <v>47</v>
      </c>
    </row>
    <row r="816" spans="1:16">
      <c r="A816" s="2" t="s">
        <v>1677</v>
      </c>
      <c r="B816" s="2" t="s">
        <v>1678</v>
      </c>
      <c r="C816" s="2" t="s">
        <v>1614</v>
      </c>
      <c r="D816" s="2" t="s">
        <v>19</v>
      </c>
      <c r="E816" s="16">
        <v>-0.8353891</v>
      </c>
      <c r="F816" s="3">
        <v>135.69999999999999</v>
      </c>
      <c r="G816" s="3">
        <v>139.80000000000001</v>
      </c>
      <c r="H816" s="3">
        <v>0.1</v>
      </c>
      <c r="I816" s="3">
        <v>0.1</v>
      </c>
      <c r="J816" s="3">
        <v>4</v>
      </c>
      <c r="K816" s="3">
        <v>3</v>
      </c>
      <c r="L816" s="3" t="s">
        <v>30</v>
      </c>
      <c r="M816" s="3">
        <v>18.5</v>
      </c>
      <c r="N816" s="4">
        <v>34600</v>
      </c>
      <c r="O816" s="4" t="str" cm="1">
        <f t="array" ref="O816">_xlfn.IFS(N816&lt;45000,"Under 45K",N816&lt;75000,"45K - 75K",N816&lt;100000,"75K - 100K",N816&gt;=100000,"Over 100K")</f>
        <v>Under 45K</v>
      </c>
      <c r="P816" s="2" t="s">
        <v>165</v>
      </c>
    </row>
    <row r="817" spans="1:16">
      <c r="A817" s="2" t="s">
        <v>1679</v>
      </c>
      <c r="B817" s="2" t="s">
        <v>1680</v>
      </c>
      <c r="C817" s="2" t="s">
        <v>1614</v>
      </c>
      <c r="D817" s="2" t="s">
        <v>19</v>
      </c>
      <c r="E817" s="16">
        <v>-0.84229270000000001</v>
      </c>
      <c r="F817" s="3">
        <v>13.1</v>
      </c>
      <c r="G817" s="3">
        <v>13.5</v>
      </c>
      <c r="H817" s="3">
        <v>0</v>
      </c>
      <c r="I817" s="3">
        <v>0</v>
      </c>
      <c r="J817" s="3">
        <v>0.3</v>
      </c>
      <c r="K817" s="3">
        <v>2.6</v>
      </c>
      <c r="L817" s="3">
        <v>3.6</v>
      </c>
      <c r="M817" s="3">
        <v>1.5</v>
      </c>
      <c r="N817" s="4">
        <v>60020</v>
      </c>
      <c r="O817" s="4" t="str" cm="1">
        <f t="array" ref="O817">_xlfn.IFS(N817&lt;45000,"Under 45K",N817&lt;75000,"45K - 75K",N817&lt;100000,"75K - 100K",N817&gt;=100000,"Over 100K")</f>
        <v>45K - 75K</v>
      </c>
      <c r="P817" s="2" t="s">
        <v>47</v>
      </c>
    </row>
    <row r="818" spans="1:16">
      <c r="A818" s="2" t="s">
        <v>1681</v>
      </c>
      <c r="B818" s="2" t="s">
        <v>1682</v>
      </c>
      <c r="C818" s="2" t="s">
        <v>1614</v>
      </c>
      <c r="D818" s="2" t="s">
        <v>19</v>
      </c>
      <c r="E818" s="16">
        <v>-0.88711859999999998</v>
      </c>
      <c r="F818" s="3">
        <v>2.7</v>
      </c>
      <c r="G818" s="3">
        <v>2.8</v>
      </c>
      <c r="H818" s="3">
        <v>0</v>
      </c>
      <c r="I818" s="3">
        <v>0</v>
      </c>
      <c r="J818" s="3">
        <v>0</v>
      </c>
      <c r="K818" s="3">
        <v>1.4</v>
      </c>
      <c r="L818" s="3">
        <v>6.5</v>
      </c>
      <c r="M818" s="3">
        <v>0.3</v>
      </c>
      <c r="N818" s="4">
        <v>51880</v>
      </c>
      <c r="O818" s="4" t="str" cm="1">
        <f t="array" ref="O818">_xlfn.IFS(N818&lt;45000,"Under 45K",N818&lt;75000,"45K - 75K",N818&lt;100000,"75K - 100K",N818&gt;=100000,"Over 100K")</f>
        <v>45K - 75K</v>
      </c>
      <c r="P818" s="2" t="s">
        <v>152</v>
      </c>
    </row>
    <row r="819" spans="1:16">
      <c r="A819" s="2" t="s">
        <v>1683</v>
      </c>
      <c r="B819" s="2" t="s">
        <v>1684</v>
      </c>
      <c r="C819" s="2" t="s">
        <v>1614</v>
      </c>
      <c r="D819" s="2" t="s">
        <v>19</v>
      </c>
      <c r="E819" s="16">
        <v>-0.97819970000000001</v>
      </c>
      <c r="F819" s="3">
        <v>2.7</v>
      </c>
      <c r="G819" s="3">
        <v>2.7</v>
      </c>
      <c r="H819" s="3">
        <v>0</v>
      </c>
      <c r="I819" s="3">
        <v>0</v>
      </c>
      <c r="J819" s="3">
        <v>0</v>
      </c>
      <c r="K819" s="3">
        <v>-1.1000000000000001</v>
      </c>
      <c r="L819" s="3">
        <v>7.8</v>
      </c>
      <c r="M819" s="3">
        <v>0.3</v>
      </c>
      <c r="N819" s="4">
        <v>52310</v>
      </c>
      <c r="O819" s="4" t="str" cm="1">
        <f t="array" ref="O819">_xlfn.IFS(N819&lt;45000,"Under 45K",N819&lt;75000,"45K - 75K",N819&lt;100000,"75K - 100K",N819&gt;=100000,"Over 100K")</f>
        <v>45K - 75K</v>
      </c>
      <c r="P819" s="2" t="s">
        <v>165</v>
      </c>
    </row>
    <row r="820" spans="1:16">
      <c r="A820" s="2" t="s">
        <v>1685</v>
      </c>
      <c r="B820" s="2" t="s">
        <v>1686</v>
      </c>
      <c r="C820" s="2" t="s">
        <v>1614</v>
      </c>
      <c r="D820" s="2" t="s">
        <v>19</v>
      </c>
      <c r="E820" s="16">
        <v>-1.016648</v>
      </c>
      <c r="F820" s="3">
        <v>1.1000000000000001</v>
      </c>
      <c r="G820" s="3">
        <v>1.2</v>
      </c>
      <c r="H820" s="3">
        <v>0</v>
      </c>
      <c r="I820" s="3">
        <v>0</v>
      </c>
      <c r="J820" s="3">
        <v>0</v>
      </c>
      <c r="K820" s="3">
        <v>1.2</v>
      </c>
      <c r="L820" s="3">
        <v>8</v>
      </c>
      <c r="M820" s="3">
        <v>0.1</v>
      </c>
      <c r="N820" s="4">
        <v>48430</v>
      </c>
      <c r="O820" s="4" t="str" cm="1">
        <f t="array" ref="O820">_xlfn.IFS(N820&lt;45000,"Under 45K",N820&lt;75000,"45K - 75K",N820&lt;100000,"75K - 100K",N820&gt;=100000,"Over 100K")</f>
        <v>45K - 75K</v>
      </c>
      <c r="P820" s="2" t="s">
        <v>47</v>
      </c>
    </row>
    <row r="821" spans="1:16">
      <c r="A821" s="2" t="s">
        <v>1687</v>
      </c>
      <c r="B821" s="2" t="s">
        <v>1688</v>
      </c>
      <c r="C821" s="2" t="s">
        <v>1614</v>
      </c>
      <c r="D821" s="2" t="s">
        <v>19</v>
      </c>
      <c r="E821" s="16">
        <v>-1.030619</v>
      </c>
      <c r="F821" s="3">
        <v>42.3</v>
      </c>
      <c r="G821" s="3">
        <v>43.5</v>
      </c>
      <c r="H821" s="3">
        <v>0</v>
      </c>
      <c r="I821" s="3">
        <v>0</v>
      </c>
      <c r="J821" s="3">
        <v>1.3</v>
      </c>
      <c r="K821" s="3">
        <v>3</v>
      </c>
      <c r="L821" s="3" t="s">
        <v>30</v>
      </c>
      <c r="M821" s="3">
        <v>3.8</v>
      </c>
      <c r="N821" s="4">
        <v>66370</v>
      </c>
      <c r="O821" s="4" t="str" cm="1">
        <f t="array" ref="O821">_xlfn.IFS(N821&lt;45000,"Under 45K",N821&lt;75000,"45K - 75K",N821&lt;100000,"75K - 100K",N821&gt;=100000,"Over 100K")</f>
        <v>45K - 75K</v>
      </c>
      <c r="P821" s="2" t="s">
        <v>47</v>
      </c>
    </row>
    <row r="822" spans="1:16">
      <c r="A822" s="2" t="s">
        <v>1689</v>
      </c>
      <c r="B822" s="2" t="s">
        <v>1690</v>
      </c>
      <c r="C822" s="2" t="s">
        <v>1614</v>
      </c>
      <c r="D822" s="2" t="s">
        <v>19</v>
      </c>
      <c r="E822" s="16">
        <v>-1.0374129999999999</v>
      </c>
      <c r="F822" s="3">
        <v>46.5</v>
      </c>
      <c r="G822" s="3">
        <v>40.4</v>
      </c>
      <c r="H822" s="3">
        <v>0</v>
      </c>
      <c r="I822" s="3">
        <v>0</v>
      </c>
      <c r="J822" s="3">
        <v>-6</v>
      </c>
      <c r="K822" s="3">
        <v>-13</v>
      </c>
      <c r="L822" s="3">
        <v>0.9</v>
      </c>
      <c r="M822" s="3">
        <v>4.7</v>
      </c>
      <c r="N822" s="4">
        <v>39700</v>
      </c>
      <c r="O822" s="4" t="str" cm="1">
        <f t="array" ref="O822">_xlfn.IFS(N822&lt;45000,"Under 45K",N822&lt;75000,"45K - 75K",N822&lt;100000,"75K - 100K",N822&gt;=100000,"Over 100K")</f>
        <v>Under 45K</v>
      </c>
      <c r="P822" s="2" t="s">
        <v>165</v>
      </c>
    </row>
    <row r="823" spans="1:16">
      <c r="A823" s="2" t="s">
        <v>1691</v>
      </c>
      <c r="B823" s="2" t="s">
        <v>1692</v>
      </c>
      <c r="C823" s="2" t="s">
        <v>1614</v>
      </c>
      <c r="D823" s="2" t="s">
        <v>19</v>
      </c>
      <c r="E823" s="16">
        <v>-1.091197</v>
      </c>
      <c r="F823" s="3">
        <v>18.8</v>
      </c>
      <c r="G823" s="3">
        <v>17.899999999999999</v>
      </c>
      <c r="H823" s="3">
        <v>0</v>
      </c>
      <c r="I823" s="3">
        <v>0</v>
      </c>
      <c r="J823" s="3">
        <v>-0.9</v>
      </c>
      <c r="K823" s="3">
        <v>-4.7</v>
      </c>
      <c r="L823" s="3">
        <v>3.6</v>
      </c>
      <c r="M823" s="3">
        <v>2</v>
      </c>
      <c r="N823" s="4">
        <v>70010</v>
      </c>
      <c r="O823" s="4" t="str" cm="1">
        <f t="array" ref="O823">_xlfn.IFS(N823&lt;45000,"Under 45K",N823&lt;75000,"45K - 75K",N823&lt;100000,"75K - 100K",N823&gt;=100000,"Over 100K")</f>
        <v>45K - 75K</v>
      </c>
      <c r="P823" s="2" t="s">
        <v>47</v>
      </c>
    </row>
    <row r="824" spans="1:16">
      <c r="A824" s="2" t="s">
        <v>1693</v>
      </c>
      <c r="B824" s="2" t="s">
        <v>1694</v>
      </c>
      <c r="C824" s="2" t="s">
        <v>1614</v>
      </c>
      <c r="D824" s="2" t="s">
        <v>19</v>
      </c>
      <c r="E824" s="16">
        <v>-1.120501</v>
      </c>
      <c r="F824" s="3">
        <v>1079.8</v>
      </c>
      <c r="G824" s="3">
        <v>1158.5999999999999</v>
      </c>
      <c r="H824" s="3">
        <v>0.6</v>
      </c>
      <c r="I824" s="3">
        <v>0.7</v>
      </c>
      <c r="J824" s="3">
        <v>78.900000000000006</v>
      </c>
      <c r="K824" s="3">
        <v>7.3</v>
      </c>
      <c r="L824" s="3">
        <v>6.8</v>
      </c>
      <c r="M824" s="3">
        <v>120.2</v>
      </c>
      <c r="N824" s="4">
        <v>44140</v>
      </c>
      <c r="O824" s="4" t="str" cm="1">
        <f t="array" ref="O824">_xlfn.IFS(N824&lt;45000,"Under 45K",N824&lt;75000,"45K - 75K",N824&lt;100000,"75K - 100K",N824&gt;=100000,"Over 100K")</f>
        <v>Under 45K</v>
      </c>
      <c r="P824" s="2" t="s">
        <v>47</v>
      </c>
    </row>
    <row r="825" spans="1:16">
      <c r="A825" s="2" t="s">
        <v>1695</v>
      </c>
      <c r="B825" s="2" t="s">
        <v>1696</v>
      </c>
      <c r="C825" s="2" t="s">
        <v>1614</v>
      </c>
      <c r="D825" s="2" t="s">
        <v>19</v>
      </c>
      <c r="E825" s="16">
        <v>-1.149057</v>
      </c>
      <c r="F825" s="3">
        <v>2235.1</v>
      </c>
      <c r="G825" s="3">
        <v>2324.4</v>
      </c>
      <c r="H825" s="3">
        <v>1.3</v>
      </c>
      <c r="I825" s="3">
        <v>1.3</v>
      </c>
      <c r="J825" s="3">
        <v>89.3</v>
      </c>
      <c r="K825" s="3">
        <v>4</v>
      </c>
      <c r="L825" s="3">
        <v>6.9</v>
      </c>
      <c r="M825" s="3">
        <v>237.6</v>
      </c>
      <c r="N825" s="4">
        <v>57440</v>
      </c>
      <c r="O825" s="4" t="str" cm="1">
        <f t="array" ref="O825">_xlfn.IFS(N825&lt;45000,"Under 45K",N825&lt;75000,"45K - 75K",N825&lt;100000,"75K - 100K",N825&gt;=100000,"Over 100K")</f>
        <v>45K - 75K</v>
      </c>
      <c r="P825" s="2" t="s">
        <v>152</v>
      </c>
    </row>
    <row r="826" spans="1:16">
      <c r="A826" s="2" t="s">
        <v>1697</v>
      </c>
      <c r="B826" s="2" t="s">
        <v>1698</v>
      </c>
      <c r="C826" s="2" t="s">
        <v>1614</v>
      </c>
      <c r="D826" s="2" t="s">
        <v>19</v>
      </c>
      <c r="E826" s="16">
        <v>-1.1500010000000001</v>
      </c>
      <c r="F826" s="3">
        <v>32.1</v>
      </c>
      <c r="G826" s="3">
        <v>32.799999999999997</v>
      </c>
      <c r="H826" s="3">
        <v>0</v>
      </c>
      <c r="I826" s="3">
        <v>0</v>
      </c>
      <c r="J826" s="3">
        <v>0.7</v>
      </c>
      <c r="K826" s="3">
        <v>2.2999999999999998</v>
      </c>
      <c r="L826" s="3" t="s">
        <v>30</v>
      </c>
      <c r="M826" s="3">
        <v>3.9</v>
      </c>
      <c r="N826" s="4">
        <v>49610</v>
      </c>
      <c r="O826" s="4" t="str" cm="1">
        <f t="array" ref="O826">_xlfn.IFS(N826&lt;45000,"Under 45K",N826&lt;75000,"45K - 75K",N826&lt;100000,"75K - 100K",N826&gt;=100000,"Over 100K")</f>
        <v>45K - 75K</v>
      </c>
      <c r="P826" s="2" t="s">
        <v>165</v>
      </c>
    </row>
    <row r="827" spans="1:16">
      <c r="A827" s="2" t="s">
        <v>1699</v>
      </c>
      <c r="B827" s="2" t="s">
        <v>1700</v>
      </c>
      <c r="C827" s="2" t="s">
        <v>1614</v>
      </c>
      <c r="D827" s="2" t="s">
        <v>19</v>
      </c>
      <c r="E827" s="16">
        <v>-1.221489</v>
      </c>
      <c r="F827" s="3">
        <v>100</v>
      </c>
      <c r="G827" s="3">
        <v>99</v>
      </c>
      <c r="H827" s="3">
        <v>0.1</v>
      </c>
      <c r="I827" s="3">
        <v>0.1</v>
      </c>
      <c r="J827" s="3">
        <v>-1</v>
      </c>
      <c r="K827" s="3">
        <v>-1</v>
      </c>
      <c r="L827" s="3">
        <v>0.8</v>
      </c>
      <c r="M827" s="3">
        <v>14.4</v>
      </c>
      <c r="N827" s="4">
        <v>34850</v>
      </c>
      <c r="O827" s="4" t="str" cm="1">
        <f t="array" ref="O827">_xlfn.IFS(N827&lt;45000,"Under 45K",N827&lt;75000,"45K - 75K",N827&lt;100000,"75K - 100K",N827&gt;=100000,"Over 100K")</f>
        <v>Under 45K</v>
      </c>
      <c r="P827" s="2" t="s">
        <v>165</v>
      </c>
    </row>
    <row r="828" spans="1:16">
      <c r="A828" s="2" t="s">
        <v>1701</v>
      </c>
      <c r="B828" s="2" t="s">
        <v>1702</v>
      </c>
      <c r="C828" s="2" t="s">
        <v>1614</v>
      </c>
      <c r="D828" s="2" t="s">
        <v>19</v>
      </c>
      <c r="E828" s="16">
        <v>-1.2833730000000001</v>
      </c>
      <c r="F828" s="3">
        <v>147.9</v>
      </c>
      <c r="G828" s="3">
        <v>149.19999999999999</v>
      </c>
      <c r="H828" s="3">
        <v>0.1</v>
      </c>
      <c r="I828" s="3">
        <v>0.1</v>
      </c>
      <c r="J828" s="3">
        <v>1.3</v>
      </c>
      <c r="K828" s="3">
        <v>0.9</v>
      </c>
      <c r="L828" s="3">
        <v>3.7</v>
      </c>
      <c r="M828" s="3">
        <v>16.899999999999999</v>
      </c>
      <c r="N828" s="4">
        <v>48350</v>
      </c>
      <c r="O828" s="4" t="str" cm="1">
        <f t="array" ref="O828">_xlfn.IFS(N828&lt;45000,"Under 45K",N828&lt;75000,"45K - 75K",N828&lt;100000,"75K - 100K",N828&gt;=100000,"Over 100K")</f>
        <v>45K - 75K</v>
      </c>
      <c r="P828" s="2" t="s">
        <v>165</v>
      </c>
    </row>
    <row r="829" spans="1:16">
      <c r="A829" s="2" t="s">
        <v>1703</v>
      </c>
      <c r="B829" s="2" t="s">
        <v>1704</v>
      </c>
      <c r="C829" s="2" t="s">
        <v>1614</v>
      </c>
      <c r="D829" s="2" t="s">
        <v>19</v>
      </c>
      <c r="E829" s="16">
        <v>-1.3877600000000001</v>
      </c>
      <c r="F829" s="3">
        <v>12</v>
      </c>
      <c r="G829" s="3">
        <v>12.5</v>
      </c>
      <c r="H829" s="3">
        <v>0</v>
      </c>
      <c r="I829" s="3">
        <v>0</v>
      </c>
      <c r="J829" s="3">
        <v>0.5</v>
      </c>
      <c r="K829" s="3">
        <v>4.3</v>
      </c>
      <c r="L829" s="3">
        <v>6.6</v>
      </c>
      <c r="M829" s="3">
        <v>1.3</v>
      </c>
      <c r="N829" s="4">
        <v>58070</v>
      </c>
      <c r="O829" s="4" t="str" cm="1">
        <f t="array" ref="O829">_xlfn.IFS(N829&lt;45000,"Under 45K",N829&lt;75000,"45K - 75K",N829&lt;100000,"75K - 100K",N829&gt;=100000,"Over 100K")</f>
        <v>45K - 75K</v>
      </c>
      <c r="P829" s="2" t="s">
        <v>165</v>
      </c>
    </row>
    <row r="830" spans="1:16">
      <c r="A830" s="2" t="s">
        <v>1705</v>
      </c>
      <c r="B830" s="2" t="s">
        <v>1706</v>
      </c>
      <c r="C830" s="2" t="s">
        <v>1614</v>
      </c>
      <c r="D830" s="2" t="s">
        <v>19</v>
      </c>
      <c r="E830" s="16">
        <v>-1.39869</v>
      </c>
      <c r="F830" s="3">
        <v>792.5</v>
      </c>
      <c r="G830" s="3">
        <v>801.6</v>
      </c>
      <c r="H830" s="3">
        <v>0.5</v>
      </c>
      <c r="I830" s="3">
        <v>0.5</v>
      </c>
      <c r="J830" s="3">
        <v>9.1</v>
      </c>
      <c r="K830" s="3">
        <v>1.1000000000000001</v>
      </c>
      <c r="L830" s="3">
        <v>0.4</v>
      </c>
      <c r="M830" s="3">
        <v>76.400000000000006</v>
      </c>
      <c r="N830" s="4">
        <v>46390</v>
      </c>
      <c r="O830" s="4" t="str" cm="1">
        <f t="array" ref="O830">_xlfn.IFS(N830&lt;45000,"Under 45K",N830&lt;75000,"45K - 75K",N830&lt;100000,"75K - 100K",N830&gt;=100000,"Over 100K")</f>
        <v>45K - 75K</v>
      </c>
      <c r="P830" s="2" t="s">
        <v>165</v>
      </c>
    </row>
    <row r="831" spans="1:16">
      <c r="A831" s="2" t="s">
        <v>1707</v>
      </c>
      <c r="B831" s="2" t="s">
        <v>1708</v>
      </c>
      <c r="C831" s="2" t="s">
        <v>1614</v>
      </c>
      <c r="D831" s="2" t="s">
        <v>19</v>
      </c>
      <c r="E831" s="16">
        <v>-1.51362</v>
      </c>
      <c r="F831" s="3">
        <v>591.79999999999995</v>
      </c>
      <c r="G831" s="3">
        <v>559.70000000000005</v>
      </c>
      <c r="H831" s="3">
        <v>0.3</v>
      </c>
      <c r="I831" s="3">
        <v>0.3</v>
      </c>
      <c r="J831" s="3">
        <v>-32.200000000000003</v>
      </c>
      <c r="K831" s="3">
        <v>-5.4</v>
      </c>
      <c r="L831" s="3">
        <v>0.7</v>
      </c>
      <c r="M831" s="3">
        <v>74</v>
      </c>
      <c r="N831" s="4">
        <v>35580</v>
      </c>
      <c r="O831" s="4" t="str" cm="1">
        <f t="array" ref="O831">_xlfn.IFS(N831&lt;45000,"Under 45K",N831&lt;75000,"45K - 75K",N831&lt;100000,"75K - 100K",N831&gt;=100000,"Over 100K")</f>
        <v>Under 45K</v>
      </c>
      <c r="P831" s="2" t="s">
        <v>165</v>
      </c>
    </row>
    <row r="832" spans="1:16">
      <c r="A832" s="2" t="s">
        <v>1709</v>
      </c>
      <c r="B832" s="2" t="s">
        <v>1710</v>
      </c>
      <c r="C832" s="2" t="s">
        <v>1614</v>
      </c>
      <c r="D832" s="2" t="s">
        <v>19</v>
      </c>
      <c r="E832" s="16">
        <v>-1.6298969999999999</v>
      </c>
      <c r="F832" s="3">
        <v>410.1</v>
      </c>
      <c r="G832" s="3">
        <v>426.2</v>
      </c>
      <c r="H832" s="3">
        <v>0.2</v>
      </c>
      <c r="I832" s="3">
        <v>0.2</v>
      </c>
      <c r="J832" s="3">
        <v>16</v>
      </c>
      <c r="K832" s="3">
        <v>3.9</v>
      </c>
      <c r="L832" s="3">
        <v>7.4</v>
      </c>
      <c r="M832" s="3">
        <v>56.2</v>
      </c>
      <c r="N832" s="4">
        <v>35270</v>
      </c>
      <c r="O832" s="4" t="str" cm="1">
        <f t="array" ref="O832">_xlfn.IFS(N832&lt;45000,"Under 45K",N832&lt;75000,"45K - 75K",N832&lt;100000,"75K - 100K",N832&gt;=100000,"Over 100K")</f>
        <v>Under 45K</v>
      </c>
      <c r="P832" s="2" t="s">
        <v>165</v>
      </c>
    </row>
    <row r="833" spans="1:16">
      <c r="A833" s="2" t="s">
        <v>1711</v>
      </c>
      <c r="B833" s="2" t="s">
        <v>1712</v>
      </c>
      <c r="C833" s="2" t="s">
        <v>1614</v>
      </c>
      <c r="D833" s="2" t="s">
        <v>19</v>
      </c>
      <c r="E833" s="16">
        <v>-1.7091829999999999</v>
      </c>
      <c r="F833" s="3">
        <v>2988.9</v>
      </c>
      <c r="G833" s="3">
        <v>3033.1</v>
      </c>
      <c r="H833" s="3">
        <v>1.8</v>
      </c>
      <c r="I833" s="3">
        <v>1.7</v>
      </c>
      <c r="J833" s="3">
        <v>44.3</v>
      </c>
      <c r="K833" s="3">
        <v>1.5</v>
      </c>
      <c r="L833" s="3">
        <v>1.3</v>
      </c>
      <c r="M833" s="3">
        <v>384.3</v>
      </c>
      <c r="N833" s="4">
        <v>38940</v>
      </c>
      <c r="O833" s="4" t="str" cm="1">
        <f t="array" ref="O833">_xlfn.IFS(N833&lt;45000,"Under 45K",N833&lt;75000,"45K - 75K",N833&lt;100000,"75K - 100K",N833&gt;=100000,"Over 100K")</f>
        <v>Under 45K</v>
      </c>
      <c r="P833" s="2" t="s">
        <v>165</v>
      </c>
    </row>
  </sheetData>
  <autoFilter ref="A1:P833" xr:uid="{00000000-0001-0000-0000-000000000000}"/>
  <sortState xmlns:xlrd2="http://schemas.microsoft.com/office/spreadsheetml/2017/richdata2" ref="A2:X833">
    <sortCondition ref="C2:C8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7870-EFAE-48C8-8008-6F4E28F7E0C9}">
  <dimension ref="A3:I12"/>
  <sheetViews>
    <sheetView workbookViewId="0">
      <selection activeCell="T15" sqref="T15"/>
    </sheetView>
  </sheetViews>
  <sheetFormatPr defaultRowHeight="15"/>
  <cols>
    <col min="1" max="1" width="35.42578125" bestFit="1" customWidth="1"/>
    <col min="2" max="2" width="15.5703125" bestFit="1" customWidth="1"/>
    <col min="3" max="3" width="46" bestFit="1" customWidth="1"/>
    <col min="9" max="9" width="9.28515625" bestFit="1" customWidth="1"/>
  </cols>
  <sheetData>
    <row r="3" spans="1:9">
      <c r="A3" s="17" t="s">
        <v>15</v>
      </c>
      <c r="B3" t="s">
        <v>1713</v>
      </c>
      <c r="C3" t="s">
        <v>1714</v>
      </c>
      <c r="F3" s="14" t="s">
        <v>1715</v>
      </c>
      <c r="G3" s="14" t="s">
        <v>1716</v>
      </c>
      <c r="H3" s="14"/>
      <c r="I3" s="14"/>
    </row>
    <row r="4" spans="1:9">
      <c r="A4" t="s">
        <v>92</v>
      </c>
      <c r="B4" s="18">
        <v>0.11000383750000003</v>
      </c>
      <c r="C4" s="20">
        <v>3.0749999999999997</v>
      </c>
      <c r="F4" s="21" t="s">
        <v>1717</v>
      </c>
      <c r="G4" s="22">
        <v>0.76915410249999983</v>
      </c>
      <c r="H4" s="22"/>
      <c r="I4" s="22"/>
    </row>
    <row r="5" spans="1:9">
      <c r="A5" t="s">
        <v>23</v>
      </c>
      <c r="B5" s="18">
        <v>0.72416889325842648</v>
      </c>
      <c r="C5" s="20">
        <v>4.1533707865168523</v>
      </c>
      <c r="F5" s="21" t="s">
        <v>1718</v>
      </c>
      <c r="G5" s="22">
        <v>0.73184606164383548</v>
      </c>
      <c r="H5" s="22"/>
      <c r="I5" s="22"/>
    </row>
    <row r="6" spans="1:9">
      <c r="A6" t="s">
        <v>304</v>
      </c>
      <c r="B6" s="18">
        <v>0.73184606164383548</v>
      </c>
      <c r="C6" s="20">
        <v>4.0452054794520551</v>
      </c>
      <c r="F6" s="21" t="s">
        <v>1719</v>
      </c>
      <c r="G6" s="22">
        <v>0.72416889325842648</v>
      </c>
      <c r="H6" s="22"/>
      <c r="I6" s="22"/>
    </row>
    <row r="7" spans="1:9">
      <c r="A7" t="s">
        <v>47</v>
      </c>
      <c r="B7" s="18">
        <v>-0.36827606656441703</v>
      </c>
      <c r="C7" s="20">
        <v>-0.81840490797546073</v>
      </c>
      <c r="F7" s="21" t="s">
        <v>1720</v>
      </c>
      <c r="G7" s="22">
        <v>0.24170055714285713</v>
      </c>
      <c r="H7" s="22"/>
      <c r="I7" s="22"/>
    </row>
    <row r="8" spans="1:9">
      <c r="A8" t="s">
        <v>20</v>
      </c>
      <c r="B8" s="18">
        <v>0.76915410249999983</v>
      </c>
      <c r="C8" s="20">
        <v>7.2450000000000019</v>
      </c>
      <c r="F8" s="21" t="s">
        <v>1721</v>
      </c>
      <c r="G8" s="22">
        <v>0.11000383750000003</v>
      </c>
      <c r="H8" s="22"/>
      <c r="I8" s="22"/>
    </row>
    <row r="9" spans="1:9">
      <c r="A9" t="s">
        <v>165</v>
      </c>
      <c r="B9" s="18">
        <v>-0.89510786788990815</v>
      </c>
      <c r="C9" s="20">
        <v>0.2660550458715597</v>
      </c>
      <c r="F9" s="21" t="s">
        <v>1722</v>
      </c>
      <c r="G9" s="22">
        <v>-0.34911961960784321</v>
      </c>
      <c r="H9" s="22"/>
      <c r="I9" s="22"/>
    </row>
    <row r="10" spans="1:9">
      <c r="A10" t="s">
        <v>152</v>
      </c>
      <c r="B10" s="18">
        <v>-0.34911961960784321</v>
      </c>
      <c r="C10" s="20">
        <v>4.8156862745098037</v>
      </c>
      <c r="F10" s="21" t="s">
        <v>1723</v>
      </c>
      <c r="G10" s="22">
        <v>-0.36827606656441703</v>
      </c>
      <c r="H10" s="22"/>
      <c r="I10" s="22"/>
    </row>
    <row r="11" spans="1:9">
      <c r="A11" t="s">
        <v>185</v>
      </c>
      <c r="B11" s="18">
        <v>0.24170055714285713</v>
      </c>
      <c r="C11" s="20">
        <v>-4.0285714285714276</v>
      </c>
      <c r="F11" s="21" t="s">
        <v>1724</v>
      </c>
      <c r="G11" s="22">
        <v>-0.89510786788990815</v>
      </c>
      <c r="H11" s="22"/>
      <c r="I11" s="22"/>
    </row>
    <row r="12" spans="1:9">
      <c r="A12" t="s">
        <v>1725</v>
      </c>
      <c r="B12" s="18">
        <v>-1.8467281490384714E-2</v>
      </c>
      <c r="C12" s="20">
        <v>1.7447115384615368</v>
      </c>
    </row>
  </sheetData>
  <sortState xmlns:xlrd2="http://schemas.microsoft.com/office/spreadsheetml/2017/richdata2" ref="F4:G11">
    <sortCondition descending="1" ref="G4:G11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70AC-9712-4355-81AA-FB127EE5653F}">
  <dimension ref="A1:J7"/>
  <sheetViews>
    <sheetView tabSelected="1" topLeftCell="D3" workbookViewId="0">
      <selection activeCell="R14" sqref="R14"/>
    </sheetView>
  </sheetViews>
  <sheetFormatPr defaultRowHeight="15"/>
  <cols>
    <col min="1" max="1" width="20" customWidth="1"/>
    <col min="2" max="2" width="19.7109375" customWidth="1"/>
    <col min="4" max="4" width="19.85546875" customWidth="1"/>
    <col min="8" max="9" width="9.28515625" bestFit="1" customWidth="1"/>
  </cols>
  <sheetData>
    <row r="1" spans="1:10">
      <c r="A1" s="25" t="s">
        <v>1726</v>
      </c>
      <c r="B1" s="25" t="s">
        <v>1727</v>
      </c>
      <c r="C1" s="25" t="s">
        <v>1728</v>
      </c>
      <c r="D1" s="25" t="s">
        <v>1729</v>
      </c>
      <c r="E1" s="25" t="s">
        <v>1730</v>
      </c>
      <c r="F1" s="25"/>
      <c r="G1" s="25" t="s">
        <v>1726</v>
      </c>
      <c r="H1" s="25" t="s">
        <v>1716</v>
      </c>
      <c r="I1" s="25" t="s">
        <v>1731</v>
      </c>
      <c r="J1" s="25"/>
    </row>
    <row r="2" spans="1:10">
      <c r="A2" t="s">
        <v>1732</v>
      </c>
      <c r="B2">
        <f>COUNTIF('Tbl 1.2'!N:N, "&lt;45000")</f>
        <v>184</v>
      </c>
      <c r="C2">
        <f>AVERAGEIFS('Tbl 1.2'!E:E, 'Tbl 1.2'!N:N, "&lt;45000")</f>
        <v>-0.46181590434782616</v>
      </c>
      <c r="D2">
        <f>AVERAGEIFS('Tbl 1.2'!E:E, 'Tbl 1.2'!N:N, "&lt;45000", 'Tbl 1.2'!E:E, "&gt;0")</f>
        <v>0.52723739999999997</v>
      </c>
      <c r="E2">
        <f>AVERAGEIF('Tbl 1.2'!O:O,A2,'Tbl 1.2'!K:K)</f>
        <v>-0.25163043478260905</v>
      </c>
      <c r="G2" t="s">
        <v>1732</v>
      </c>
      <c r="H2" s="27">
        <v>-0.46182000000000001</v>
      </c>
      <c r="I2" s="27">
        <v>-0.25163000000000002</v>
      </c>
    </row>
    <row r="3" spans="1:10">
      <c r="A3" t="s">
        <v>1733</v>
      </c>
      <c r="B3">
        <f>COUNTIFS('Tbl 1.2'!N:N, "&gt;=45000", 'Tbl 1.2'!N:N, "&lt;75000")</f>
        <v>389</v>
      </c>
      <c r="C3">
        <f>AVERAGEIFS('Tbl 1.2'!E:E, 'Tbl 1.2'!N:N, "&gt;=45000", 'Tbl 1.2'!N:N, "&lt;75000")</f>
        <v>-0.21607647737789198</v>
      </c>
      <c r="D3">
        <f>AVERAGEIFS('Tbl 1.2'!E:E, 'Tbl 1.2'!N:N, "&gt;=45000", 'Tbl 1.2'!N:N, "&lt;75000", 'Tbl 1.2'!E:E, "&gt;0")</f>
        <v>0.85050100737704937</v>
      </c>
      <c r="E3">
        <f>AVERAGEIF('Tbl 1.2'!O:O,A3,'Tbl 1.2'!K:K)</f>
        <v>0.88508997429305813</v>
      </c>
      <c r="G3" t="s">
        <v>1734</v>
      </c>
      <c r="H3" s="27">
        <v>-0.21607999999999999</v>
      </c>
      <c r="I3" s="27">
        <v>0.88509000000000004</v>
      </c>
    </row>
    <row r="4" spans="1:10">
      <c r="A4" t="s">
        <v>1735</v>
      </c>
      <c r="B4">
        <f>COUNTIFS('Tbl 1.2'!N:N, "&gt;=75000", 'Tbl 1.2'!N:N, "&lt;100000")</f>
        <v>126</v>
      </c>
      <c r="C4">
        <f>AVERAGEIFS('Tbl 1.2'!E:E, 'Tbl 1.2'!N:N, "&gt;=75000", 'Tbl 1.2'!N:N, "&lt;100000")</f>
        <v>0.59035070873015827</v>
      </c>
      <c r="D4">
        <f>AVERAGEIFS('Tbl 1.2'!E:E, 'Tbl 1.2'!N:N, "&gt;=75000", 'Tbl 1.2'!N:N, "&lt;100000", 'Tbl 1.2'!E:E, "&gt;0")</f>
        <v>1.0325183476190474</v>
      </c>
      <c r="E4">
        <f>AVERAGEIF('Tbl 1.2'!O:O,A4,'Tbl 1.2'!K:K)</f>
        <v>3.4341269841269844</v>
      </c>
      <c r="G4" t="s">
        <v>1736</v>
      </c>
      <c r="H4" s="27">
        <v>0.59035099999999996</v>
      </c>
      <c r="I4" s="27">
        <v>3.4341270000000002</v>
      </c>
    </row>
    <row r="5" spans="1:10">
      <c r="A5" t="s">
        <v>1737</v>
      </c>
      <c r="B5">
        <f>COUNTIFS('Tbl 1.2'!N:N, "&gt;=100000")</f>
        <v>110</v>
      </c>
      <c r="C5">
        <f>AVERAGEIFS('Tbl 1.2'!E:E, 'Tbl 1.2'!N:N, "&gt;100000")</f>
        <v>0.74570020818181826</v>
      </c>
      <c r="D5">
        <f>AVERAGEIFS('Tbl 1.2'!E:E, 'Tbl 1.2'!N:N, "&gt;100000", 'Tbl 1.2'!E:E, "&gt;0")</f>
        <v>1.0946261384615386</v>
      </c>
      <c r="E5">
        <f>AVERAGEIF('Tbl 1.2'!O:O,A5,'Tbl 1.2'!K:K)</f>
        <v>5.4203007518797008</v>
      </c>
      <c r="G5" t="s">
        <v>1737</v>
      </c>
      <c r="H5" s="27">
        <v>0.74570000000000003</v>
      </c>
      <c r="I5" s="27">
        <v>5.4203010000000003</v>
      </c>
    </row>
    <row r="7" spans="1:10">
      <c r="F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A655-DD30-498C-A10A-0781180E1931}">
  <dimension ref="A1:T48"/>
  <sheetViews>
    <sheetView topLeftCell="P1" workbookViewId="0">
      <selection activeCell="U13" sqref="U13"/>
    </sheetView>
  </sheetViews>
  <sheetFormatPr defaultRowHeight="15"/>
  <cols>
    <col min="1" max="1" width="21.85546875" bestFit="1" customWidth="1"/>
    <col min="2" max="2" width="15.5703125" bestFit="1" customWidth="1"/>
    <col min="3" max="3" width="46.5703125" bestFit="1" customWidth="1"/>
    <col min="4" max="4" width="46" bestFit="1" customWidth="1"/>
  </cols>
  <sheetData>
    <row r="1" spans="1:20">
      <c r="A1" s="17" t="s">
        <v>2</v>
      </c>
      <c r="B1" t="s">
        <v>1713</v>
      </c>
      <c r="C1" t="s">
        <v>1738</v>
      </c>
      <c r="D1" t="s">
        <v>1714</v>
      </c>
      <c r="F1" s="14" t="s">
        <v>1739</v>
      </c>
      <c r="G1" s="14" t="s">
        <v>1740</v>
      </c>
    </row>
    <row r="2" spans="1:20">
      <c r="A2" t="s">
        <v>418</v>
      </c>
      <c r="B2" s="18">
        <v>1.2083207499999999</v>
      </c>
      <c r="C2" s="20">
        <v>4.8</v>
      </c>
      <c r="D2" s="20">
        <v>1.7125000000000001</v>
      </c>
      <c r="F2" s="21" t="s">
        <v>418</v>
      </c>
      <c r="G2" s="22">
        <v>1.2083207499999999</v>
      </c>
      <c r="S2" s="14" t="s">
        <v>1741</v>
      </c>
    </row>
    <row r="3" spans="1:20">
      <c r="A3" t="s">
        <v>101</v>
      </c>
      <c r="B3" s="18">
        <v>1.0483999750000004</v>
      </c>
      <c r="C3" s="20">
        <v>18.331250000000001</v>
      </c>
      <c r="D3" s="20">
        <v>4.1124999999999989</v>
      </c>
      <c r="F3" s="21" t="s">
        <v>101</v>
      </c>
      <c r="G3" s="22">
        <v>1.0483999750000004</v>
      </c>
      <c r="R3" s="14" t="s">
        <v>1742</v>
      </c>
      <c r="T3" s="14" t="s">
        <v>1743</v>
      </c>
    </row>
    <row r="4" spans="1:20">
      <c r="A4" t="s">
        <v>435</v>
      </c>
      <c r="B4" s="18">
        <v>0.84794969374999996</v>
      </c>
      <c r="C4" s="20">
        <v>0.97031250000000013</v>
      </c>
      <c r="D4" s="20">
        <v>1.9124999999999999</v>
      </c>
      <c r="F4" s="21" t="s">
        <v>435</v>
      </c>
      <c r="G4" s="22">
        <v>0.84794969374999996</v>
      </c>
      <c r="R4" t="s">
        <v>1744</v>
      </c>
      <c r="T4" t="s">
        <v>1745</v>
      </c>
    </row>
    <row r="5" spans="1:20">
      <c r="A5" t="s">
        <v>18</v>
      </c>
      <c r="B5" s="18">
        <v>0.77184447368421061</v>
      </c>
      <c r="C5" s="20">
        <v>21.934210526315791</v>
      </c>
      <c r="D5" s="20">
        <v>4.5394736842105265</v>
      </c>
      <c r="F5" s="21" t="s">
        <v>18</v>
      </c>
      <c r="G5" s="22">
        <v>0.77184447368421061</v>
      </c>
      <c r="R5" t="s">
        <v>1746</v>
      </c>
      <c r="T5" t="s">
        <v>1747</v>
      </c>
    </row>
    <row r="6" spans="1:20">
      <c r="A6" t="s">
        <v>212</v>
      </c>
      <c r="B6" s="18">
        <v>0.76335121111111093</v>
      </c>
      <c r="C6" s="20">
        <v>3.8888888888888875</v>
      </c>
      <c r="D6" s="20">
        <v>3.2555555555555555</v>
      </c>
      <c r="F6" s="21" t="s">
        <v>212</v>
      </c>
      <c r="G6" s="22">
        <v>0.76335121111111093</v>
      </c>
      <c r="R6" t="s">
        <v>1748</v>
      </c>
      <c r="T6" t="s">
        <v>1749</v>
      </c>
    </row>
    <row r="7" spans="1:20">
      <c r="A7" t="s">
        <v>285</v>
      </c>
      <c r="B7" s="18">
        <v>0.70422782916666671</v>
      </c>
      <c r="C7" s="20">
        <v>1.6812499999999997</v>
      </c>
      <c r="D7" s="20">
        <v>3.3833333333333342</v>
      </c>
      <c r="F7" s="21" t="s">
        <v>285</v>
      </c>
      <c r="G7" s="22">
        <v>0.70422782916666671</v>
      </c>
      <c r="R7" t="s">
        <v>1750</v>
      </c>
      <c r="T7" t="s">
        <v>1751</v>
      </c>
    </row>
    <row r="8" spans="1:20">
      <c r="A8" t="s">
        <v>1041</v>
      </c>
      <c r="B8" s="18">
        <v>0.62276220000000027</v>
      </c>
      <c r="C8" s="20">
        <v>-14.109259259259257</v>
      </c>
      <c r="D8" s="20">
        <v>-6.3962962962962955</v>
      </c>
      <c r="F8" s="21" t="s">
        <v>1041</v>
      </c>
      <c r="G8" s="22">
        <v>0.62276220000000027</v>
      </c>
      <c r="R8" t="s">
        <v>1752</v>
      </c>
      <c r="T8" t="s">
        <v>1753</v>
      </c>
    </row>
    <row r="9" spans="1:20">
      <c r="A9" t="s">
        <v>383</v>
      </c>
      <c r="B9" s="18">
        <v>0.58164398823529417</v>
      </c>
      <c r="C9" s="20">
        <v>12.482352941176471</v>
      </c>
      <c r="D9" s="20">
        <v>6.1588235294117641</v>
      </c>
      <c r="F9" s="21" t="s">
        <v>383</v>
      </c>
      <c r="G9" s="22">
        <v>0.58164398823529417</v>
      </c>
    </row>
    <row r="10" spans="1:20">
      <c r="A10" t="s">
        <v>996</v>
      </c>
      <c r="B10" s="18">
        <v>0.5490306045454546</v>
      </c>
      <c r="C10" s="20">
        <v>-13.536363636363637</v>
      </c>
      <c r="D10" s="20">
        <v>-1.1136363636363638</v>
      </c>
      <c r="F10" s="21" t="s">
        <v>996</v>
      </c>
      <c r="G10" s="22">
        <v>0.5490306045454546</v>
      </c>
    </row>
    <row r="11" spans="1:20">
      <c r="A11" t="s">
        <v>168</v>
      </c>
      <c r="B11" s="18">
        <v>0.27483509523809524</v>
      </c>
      <c r="C11" s="20">
        <v>25.985714285714288</v>
      </c>
      <c r="D11" s="20">
        <v>9.6095238095238091</v>
      </c>
      <c r="F11" s="21" t="s">
        <v>168</v>
      </c>
      <c r="G11" s="22">
        <v>0.27483509523809524</v>
      </c>
    </row>
    <row r="12" spans="1:20">
      <c r="A12" t="s">
        <v>564</v>
      </c>
      <c r="B12" s="18">
        <v>0.13875207560975611</v>
      </c>
      <c r="C12" s="20">
        <v>2.0365853658536581</v>
      </c>
      <c r="D12" s="20">
        <v>1.7073170731707317</v>
      </c>
      <c r="F12" s="21" t="s">
        <v>564</v>
      </c>
      <c r="G12" s="22">
        <v>0.13875207560975611</v>
      </c>
    </row>
    <row r="13" spans="1:20">
      <c r="A13" t="s">
        <v>647</v>
      </c>
      <c r="B13" s="18">
        <v>5.6833938028169016E-2</v>
      </c>
      <c r="C13" s="20">
        <v>10.242253521126758</v>
      </c>
      <c r="D13" s="20">
        <v>7.1154929577464818</v>
      </c>
      <c r="F13" s="21" t="s">
        <v>647</v>
      </c>
      <c r="G13" s="22">
        <v>5.6833938028169016E-2</v>
      </c>
    </row>
    <row r="14" spans="1:20">
      <c r="A14" t="s">
        <v>791</v>
      </c>
      <c r="B14" s="18">
        <v>-0.29401576470588237</v>
      </c>
      <c r="C14" s="20">
        <v>58.135294117647042</v>
      </c>
      <c r="D14" s="20">
        <v>7.4</v>
      </c>
      <c r="F14" s="21" t="s">
        <v>791</v>
      </c>
      <c r="G14" s="22">
        <v>-0.29401576470588237</v>
      </c>
    </row>
    <row r="15" spans="1:20">
      <c r="A15" t="s">
        <v>826</v>
      </c>
      <c r="B15" s="18">
        <v>-0.31416232916666659</v>
      </c>
      <c r="C15" s="20">
        <v>1.2083333333333335</v>
      </c>
      <c r="D15" s="20">
        <v>1.3041666666666665</v>
      </c>
      <c r="F15" s="21" t="s">
        <v>826</v>
      </c>
      <c r="G15" s="22">
        <v>-0.31416232916666659</v>
      </c>
    </row>
    <row r="16" spans="1:20">
      <c r="A16" t="s">
        <v>931</v>
      </c>
      <c r="B16" s="18">
        <v>-0.32429780000000002</v>
      </c>
      <c r="C16" s="20">
        <v>5.8250000000000002</v>
      </c>
      <c r="D16" s="20">
        <v>3.7999999999999994</v>
      </c>
      <c r="F16" s="21" t="s">
        <v>931</v>
      </c>
      <c r="G16" s="22">
        <v>-0.32429780000000002</v>
      </c>
    </row>
    <row r="17" spans="1:7">
      <c r="A17" t="s">
        <v>1614</v>
      </c>
      <c r="B17" s="18">
        <v>-0.55919108599999989</v>
      </c>
      <c r="C17" s="20">
        <v>11.589999999999998</v>
      </c>
      <c r="D17" s="20">
        <v>2.3179999999999996</v>
      </c>
      <c r="F17" s="21" t="s">
        <v>1614</v>
      </c>
      <c r="G17" s="22">
        <v>-0.55919108599999989</v>
      </c>
    </row>
    <row r="18" spans="1:7">
      <c r="A18" t="s">
        <v>875</v>
      </c>
      <c r="B18" s="18">
        <v>-0.66095134705882352</v>
      </c>
      <c r="C18" s="20">
        <v>28.823529411764707</v>
      </c>
      <c r="D18" s="20">
        <v>2.5764705882352938</v>
      </c>
      <c r="F18" s="21" t="s">
        <v>875</v>
      </c>
      <c r="G18" s="22">
        <v>-0.66095134705882352</v>
      </c>
    </row>
    <row r="19" spans="1:7">
      <c r="A19" t="s">
        <v>1403</v>
      </c>
      <c r="B19" s="18">
        <v>-0.74760732761904747</v>
      </c>
      <c r="C19" s="20">
        <v>-0.9504761904761907</v>
      </c>
      <c r="D19" s="20">
        <v>-4.990476190476195</v>
      </c>
      <c r="F19" s="21" t="s">
        <v>1403</v>
      </c>
      <c r="G19" s="22">
        <v>-0.74760732761904747</v>
      </c>
    </row>
    <row r="20" spans="1:7">
      <c r="A20" t="s">
        <v>1150</v>
      </c>
      <c r="B20" s="18">
        <v>-0.77993136428571419</v>
      </c>
      <c r="C20" s="20">
        <v>-1.7999999999999996</v>
      </c>
      <c r="D20" s="20">
        <v>-1.4785714285714289</v>
      </c>
      <c r="F20" s="21" t="s">
        <v>1150</v>
      </c>
      <c r="G20" s="22">
        <v>-0.77993136428571419</v>
      </c>
    </row>
    <row r="21" spans="1:7">
      <c r="A21" t="s">
        <v>1300</v>
      </c>
      <c r="B21" s="18">
        <v>-0.84940682941176482</v>
      </c>
      <c r="C21" s="20">
        <v>5.9098039215686278</v>
      </c>
      <c r="D21" s="20">
        <v>3.6549019607843136</v>
      </c>
      <c r="F21" s="21" t="s">
        <v>1300</v>
      </c>
      <c r="G21" s="22">
        <v>-0.84940682941176482</v>
      </c>
    </row>
    <row r="22" spans="1:7">
      <c r="A22" t="s">
        <v>910</v>
      </c>
      <c r="B22" s="18">
        <v>-0.92188167999999993</v>
      </c>
      <c r="C22" s="20">
        <v>11.709999999999999</v>
      </c>
      <c r="D22" s="20">
        <v>2.77</v>
      </c>
      <c r="F22" s="21" t="s">
        <v>910</v>
      </c>
      <c r="G22" s="22">
        <v>-0.92188167999999993</v>
      </c>
    </row>
    <row r="23" spans="1:7">
      <c r="A23" t="s">
        <v>1179</v>
      </c>
      <c r="B23" s="18">
        <v>-1.1747693416666665</v>
      </c>
      <c r="C23" s="20">
        <v>6.5633333333333335</v>
      </c>
      <c r="D23" s="20">
        <v>1.8699999999999999</v>
      </c>
      <c r="F23" s="21" t="s">
        <v>1179</v>
      </c>
      <c r="G23" s="22">
        <v>-1.1747693416666665</v>
      </c>
    </row>
    <row r="24" spans="1:7">
      <c r="A24" t="s">
        <v>1725</v>
      </c>
      <c r="B24" s="18">
        <v>-1.8467281490384711E-2</v>
      </c>
      <c r="C24" s="20">
        <v>6.2628605769230896</v>
      </c>
      <c r="D24" s="20">
        <v>1.7447115384615377</v>
      </c>
      <c r="F24" s="23" t="s">
        <v>1725</v>
      </c>
      <c r="G24" s="24">
        <v>-1.8467281490384711E-2</v>
      </c>
    </row>
    <row r="26" spans="1:7">
      <c r="F26" s="25" t="s">
        <v>1739</v>
      </c>
      <c r="G26" s="14" t="s">
        <v>1754</v>
      </c>
    </row>
    <row r="27" spans="1:7">
      <c r="F27" s="21" t="s">
        <v>418</v>
      </c>
      <c r="G27" s="26">
        <v>1.7125000000000001</v>
      </c>
    </row>
    <row r="28" spans="1:7">
      <c r="F28" s="21" t="s">
        <v>101</v>
      </c>
      <c r="G28" s="26">
        <v>4.1124999999999989</v>
      </c>
    </row>
    <row r="29" spans="1:7">
      <c r="F29" s="21" t="s">
        <v>435</v>
      </c>
      <c r="G29" s="26">
        <v>1.9124999999999999</v>
      </c>
    </row>
    <row r="30" spans="1:7">
      <c r="F30" s="21" t="s">
        <v>18</v>
      </c>
      <c r="G30" s="26">
        <v>4.5394736842105265</v>
      </c>
    </row>
    <row r="31" spans="1:7">
      <c r="F31" s="21" t="s">
        <v>212</v>
      </c>
      <c r="G31" s="26">
        <v>3.2555555555555555</v>
      </c>
    </row>
    <row r="32" spans="1:7">
      <c r="F32" s="21" t="s">
        <v>285</v>
      </c>
      <c r="G32" s="26">
        <v>3.3833333333333342</v>
      </c>
    </row>
    <row r="33" spans="6:7">
      <c r="F33" s="21" t="s">
        <v>1041</v>
      </c>
      <c r="G33" s="26">
        <v>-6.3962962962962955</v>
      </c>
    </row>
    <row r="34" spans="6:7">
      <c r="F34" s="21" t="s">
        <v>383</v>
      </c>
      <c r="G34" s="26">
        <v>6.1588235294117641</v>
      </c>
    </row>
    <row r="35" spans="6:7">
      <c r="F35" s="21" t="s">
        <v>996</v>
      </c>
      <c r="G35" s="26">
        <v>-1.1136363636363638</v>
      </c>
    </row>
    <row r="36" spans="6:7">
      <c r="F36" s="21" t="s">
        <v>168</v>
      </c>
      <c r="G36" s="26">
        <v>9.6095238095238091</v>
      </c>
    </row>
    <row r="37" spans="6:7">
      <c r="F37" s="21" t="s">
        <v>564</v>
      </c>
      <c r="G37" s="26">
        <v>1.7073170731707317</v>
      </c>
    </row>
    <row r="38" spans="6:7">
      <c r="F38" s="21" t="s">
        <v>647</v>
      </c>
      <c r="G38" s="26">
        <v>7.1154929577464818</v>
      </c>
    </row>
    <row r="39" spans="6:7">
      <c r="F39" s="21" t="s">
        <v>791</v>
      </c>
      <c r="G39" s="26">
        <v>7.4</v>
      </c>
    </row>
    <row r="40" spans="6:7">
      <c r="F40" s="21" t="s">
        <v>826</v>
      </c>
      <c r="G40" s="26">
        <v>1.3041666666666665</v>
      </c>
    </row>
    <row r="41" spans="6:7">
      <c r="F41" s="21" t="s">
        <v>931</v>
      </c>
      <c r="G41" s="26">
        <v>3.7999999999999994</v>
      </c>
    </row>
    <row r="42" spans="6:7">
      <c r="F42" s="21" t="s">
        <v>1614</v>
      </c>
      <c r="G42" s="26">
        <v>2.3179999999999996</v>
      </c>
    </row>
    <row r="43" spans="6:7">
      <c r="F43" s="21" t="s">
        <v>875</v>
      </c>
      <c r="G43" s="26">
        <v>2.5764705882352938</v>
      </c>
    </row>
    <row r="44" spans="6:7">
      <c r="F44" s="21" t="s">
        <v>1403</v>
      </c>
      <c r="G44" s="26">
        <v>-4.990476190476195</v>
      </c>
    </row>
    <row r="45" spans="6:7">
      <c r="F45" s="21" t="s">
        <v>1150</v>
      </c>
      <c r="G45" s="26">
        <v>-1.4785714285714289</v>
      </c>
    </row>
    <row r="46" spans="6:7">
      <c r="F46" s="21" t="s">
        <v>1300</v>
      </c>
      <c r="G46" s="26">
        <v>3.6549019607843136</v>
      </c>
    </row>
    <row r="47" spans="6:7">
      <c r="F47" s="21" t="s">
        <v>910</v>
      </c>
      <c r="G47" s="26">
        <v>2.77</v>
      </c>
    </row>
    <row r="48" spans="6:7">
      <c r="F48" s="21" t="s">
        <v>1179</v>
      </c>
      <c r="G48" s="26">
        <v>1.8699999999999999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AAC9-DEE9-4AFA-A0BA-DAC32221B573}">
  <dimension ref="A1:C775"/>
  <sheetViews>
    <sheetView workbookViewId="0">
      <selection activeCell="G6" sqref="G6"/>
    </sheetView>
  </sheetViews>
  <sheetFormatPr defaultRowHeight="15"/>
  <sheetData>
    <row r="1" spans="1:3">
      <c r="A1" s="5" t="s">
        <v>1739</v>
      </c>
      <c r="B1" s="6" t="s">
        <v>1755</v>
      </c>
      <c r="C1" s="7" t="s">
        <v>1756</v>
      </c>
    </row>
    <row r="2" spans="1:3">
      <c r="A2" s="8" t="s">
        <v>27</v>
      </c>
      <c r="B2" s="9" t="s">
        <v>1757</v>
      </c>
      <c r="C2" s="10">
        <v>1.334246</v>
      </c>
    </row>
    <row r="3" spans="1:3">
      <c r="A3" s="8" t="s">
        <v>71</v>
      </c>
      <c r="B3" s="9" t="s">
        <v>1758</v>
      </c>
      <c r="C3" s="10">
        <v>0.57487730000000004</v>
      </c>
    </row>
    <row r="4" spans="1:3">
      <c r="A4" s="8" t="s">
        <v>38</v>
      </c>
      <c r="B4" s="9" t="s">
        <v>1759</v>
      </c>
      <c r="C4" s="10">
        <v>1.294387</v>
      </c>
    </row>
    <row r="5" spans="1:3">
      <c r="A5" s="8" t="s">
        <v>34</v>
      </c>
      <c r="B5" s="9" t="s">
        <v>1760</v>
      </c>
      <c r="C5" s="10">
        <v>1.315032</v>
      </c>
    </row>
    <row r="6" spans="1:3">
      <c r="A6" s="8" t="s">
        <v>42</v>
      </c>
      <c r="B6" s="9" t="s">
        <v>1761</v>
      </c>
      <c r="C6" s="10">
        <v>1.2662800000000001</v>
      </c>
    </row>
    <row r="7" spans="1:3">
      <c r="A7" s="8" t="s">
        <v>1762</v>
      </c>
      <c r="B7" s="9" t="s">
        <v>1763</v>
      </c>
      <c r="C7" s="10">
        <v>1.2936890000000001</v>
      </c>
    </row>
    <row r="8" spans="1:3">
      <c r="A8" s="8" t="s">
        <v>1764</v>
      </c>
      <c r="B8" s="9" t="s">
        <v>1765</v>
      </c>
      <c r="C8" s="10">
        <v>0.73982780000000004</v>
      </c>
    </row>
    <row r="9" spans="1:3">
      <c r="A9" s="8" t="s">
        <v>51</v>
      </c>
      <c r="B9" s="9" t="s">
        <v>1766</v>
      </c>
      <c r="C9" s="10">
        <v>1.0598529999999999</v>
      </c>
    </row>
    <row r="10" spans="1:3">
      <c r="A10" s="8" t="s">
        <v>22</v>
      </c>
      <c r="B10" s="9" t="s">
        <v>1767</v>
      </c>
      <c r="C10" s="10">
        <v>1.446232</v>
      </c>
    </row>
    <row r="11" spans="1:3">
      <c r="A11" s="8" t="s">
        <v>73</v>
      </c>
      <c r="B11" s="9" t="s">
        <v>1768</v>
      </c>
      <c r="C11" s="10">
        <v>0.50868780000000002</v>
      </c>
    </row>
    <row r="12" spans="1:3">
      <c r="A12" s="8" t="s">
        <v>25</v>
      </c>
      <c r="B12" s="9" t="s">
        <v>1769</v>
      </c>
      <c r="C12" s="10">
        <v>1.4234260000000001</v>
      </c>
    </row>
    <row r="13" spans="1:3">
      <c r="A13" s="8" t="s">
        <v>61</v>
      </c>
      <c r="B13" s="9" t="s">
        <v>1770</v>
      </c>
      <c r="C13" s="10">
        <v>0.89079229999999998</v>
      </c>
    </row>
    <row r="14" spans="1:3">
      <c r="A14" s="8" t="s">
        <v>36</v>
      </c>
      <c r="B14" s="9" t="s">
        <v>1771</v>
      </c>
      <c r="C14" s="10">
        <v>1.298235</v>
      </c>
    </row>
    <row r="15" spans="1:3">
      <c r="A15" s="8" t="s">
        <v>32</v>
      </c>
      <c r="B15" s="9" t="s">
        <v>1772</v>
      </c>
      <c r="C15" s="10">
        <v>1.320417</v>
      </c>
    </row>
    <row r="16" spans="1:3">
      <c r="A16" s="8" t="s">
        <v>40</v>
      </c>
      <c r="B16" s="9" t="s">
        <v>1773</v>
      </c>
      <c r="C16" s="10">
        <v>1.2844230000000001</v>
      </c>
    </row>
    <row r="17" spans="1:3">
      <c r="A17" s="8" t="s">
        <v>98</v>
      </c>
      <c r="B17" s="9" t="s">
        <v>1774</v>
      </c>
      <c r="C17" s="10">
        <v>-0.14436840000000001</v>
      </c>
    </row>
    <row r="18" spans="1:3">
      <c r="A18" s="8" t="s">
        <v>57</v>
      </c>
      <c r="B18" s="9" t="s">
        <v>1775</v>
      </c>
      <c r="C18" s="10">
        <v>1.029139</v>
      </c>
    </row>
    <row r="19" spans="1:3">
      <c r="A19" s="8" t="s">
        <v>63</v>
      </c>
      <c r="B19" s="9" t="s">
        <v>1776</v>
      </c>
      <c r="C19" s="10">
        <v>0.83800699999999995</v>
      </c>
    </row>
    <row r="20" spans="1:3">
      <c r="A20" s="8" t="s">
        <v>53</v>
      </c>
      <c r="B20" s="9" t="s">
        <v>1777</v>
      </c>
      <c r="C20" s="10">
        <v>1.0488109999999999</v>
      </c>
    </row>
    <row r="21" spans="1:3">
      <c r="A21" s="8" t="s">
        <v>17</v>
      </c>
      <c r="B21" s="9" t="s">
        <v>1778</v>
      </c>
      <c r="C21" s="10">
        <v>1.461149</v>
      </c>
    </row>
    <row r="22" spans="1:3">
      <c r="A22" s="8" t="s">
        <v>77</v>
      </c>
      <c r="B22" s="9" t="s">
        <v>1779</v>
      </c>
      <c r="C22" s="10">
        <v>0.35412650000000001</v>
      </c>
    </row>
    <row r="23" spans="1:3">
      <c r="A23" s="8" t="s">
        <v>65</v>
      </c>
      <c r="B23" s="9" t="s">
        <v>1780</v>
      </c>
      <c r="C23" s="10">
        <v>0.83701049999999999</v>
      </c>
    </row>
    <row r="24" spans="1:3">
      <c r="A24" s="8" t="s">
        <v>96</v>
      </c>
      <c r="B24" s="9" t="s">
        <v>1781</v>
      </c>
      <c r="C24" s="10">
        <v>-0.12131119999999999</v>
      </c>
    </row>
    <row r="25" spans="1:3">
      <c r="A25" s="8" t="s">
        <v>1782</v>
      </c>
      <c r="B25" s="9" t="s">
        <v>1783</v>
      </c>
      <c r="C25" s="10">
        <v>0.3719018</v>
      </c>
    </row>
    <row r="26" spans="1:3">
      <c r="A26" s="8" t="s">
        <v>67</v>
      </c>
      <c r="B26" s="9" t="s">
        <v>1784</v>
      </c>
      <c r="C26" s="10">
        <v>0.82992069999999996</v>
      </c>
    </row>
    <row r="27" spans="1:3">
      <c r="A27" s="8" t="s">
        <v>75</v>
      </c>
      <c r="B27" s="9" t="s">
        <v>1785</v>
      </c>
      <c r="C27" s="10">
        <v>0.40217259999999999</v>
      </c>
    </row>
    <row r="28" spans="1:3">
      <c r="A28" s="8" t="s">
        <v>44</v>
      </c>
      <c r="B28" s="9" t="s">
        <v>1786</v>
      </c>
      <c r="C28" s="10">
        <v>1.260259</v>
      </c>
    </row>
    <row r="29" spans="1:3">
      <c r="A29" s="8" t="s">
        <v>29</v>
      </c>
      <c r="B29" s="9" t="s">
        <v>1787</v>
      </c>
      <c r="C29" s="10">
        <v>1.327906</v>
      </c>
    </row>
    <row r="30" spans="1:3">
      <c r="A30" s="8" t="s">
        <v>69</v>
      </c>
      <c r="B30" s="9" t="s">
        <v>1788</v>
      </c>
      <c r="C30" s="10">
        <v>0.82337570000000004</v>
      </c>
    </row>
    <row r="31" spans="1:3">
      <c r="A31" s="8" t="s">
        <v>46</v>
      </c>
      <c r="B31" s="9" t="s">
        <v>1789</v>
      </c>
      <c r="C31" s="10">
        <v>1.2153959999999999</v>
      </c>
    </row>
    <row r="32" spans="1:3">
      <c r="A32" s="8" t="s">
        <v>49</v>
      </c>
      <c r="B32" s="9" t="s">
        <v>1790</v>
      </c>
      <c r="C32" s="10">
        <v>1.156153</v>
      </c>
    </row>
    <row r="33" spans="1:3">
      <c r="A33" s="8" t="s">
        <v>55</v>
      </c>
      <c r="B33" s="9" t="s">
        <v>1791</v>
      </c>
      <c r="C33" s="10">
        <v>1.0307679999999999</v>
      </c>
    </row>
    <row r="34" spans="1:3">
      <c r="A34" s="8" t="s">
        <v>59</v>
      </c>
      <c r="B34" s="9" t="s">
        <v>1792</v>
      </c>
      <c r="C34" s="10">
        <v>0.96468719999999997</v>
      </c>
    </row>
    <row r="35" spans="1:3">
      <c r="A35" s="8" t="s">
        <v>145</v>
      </c>
      <c r="B35" s="9" t="s">
        <v>1793</v>
      </c>
      <c r="C35" s="10">
        <v>1.068559</v>
      </c>
    </row>
    <row r="36" spans="1:3">
      <c r="A36" s="8" t="s">
        <v>1794</v>
      </c>
      <c r="B36" s="9" t="s">
        <v>1795</v>
      </c>
      <c r="C36" s="10">
        <v>0.76870539999999998</v>
      </c>
    </row>
    <row r="37" spans="1:3">
      <c r="A37" s="8" t="s">
        <v>1796</v>
      </c>
      <c r="B37" s="9" t="s">
        <v>1797</v>
      </c>
      <c r="C37" s="10">
        <v>0.81882580000000005</v>
      </c>
    </row>
    <row r="38" spans="1:3">
      <c r="A38" s="8" t="s">
        <v>1798</v>
      </c>
      <c r="B38" s="9" t="s">
        <v>1799</v>
      </c>
      <c r="C38" s="10">
        <v>1.5091810000000001</v>
      </c>
    </row>
    <row r="39" spans="1:3">
      <c r="A39" s="8" t="s">
        <v>139</v>
      </c>
      <c r="B39" s="9" t="s">
        <v>1800</v>
      </c>
      <c r="C39" s="10">
        <v>1.274024</v>
      </c>
    </row>
    <row r="40" spans="1:3">
      <c r="A40" s="8" t="s">
        <v>151</v>
      </c>
      <c r="B40" s="9" t="s">
        <v>1801</v>
      </c>
      <c r="C40" s="10">
        <v>0.66349550000000002</v>
      </c>
    </row>
    <row r="41" spans="1:3">
      <c r="A41" s="8" t="s">
        <v>149</v>
      </c>
      <c r="B41" s="9" t="s">
        <v>1802</v>
      </c>
      <c r="C41" s="10">
        <v>0.69812050000000003</v>
      </c>
    </row>
    <row r="42" spans="1:3">
      <c r="A42" s="8" t="s">
        <v>121</v>
      </c>
      <c r="B42" s="9" t="s">
        <v>1803</v>
      </c>
      <c r="C42" s="10">
        <v>1.367669</v>
      </c>
    </row>
    <row r="43" spans="1:3">
      <c r="A43" s="8" t="s">
        <v>127</v>
      </c>
      <c r="B43" s="9" t="s">
        <v>1804</v>
      </c>
      <c r="C43" s="10">
        <v>1.36005</v>
      </c>
    </row>
    <row r="44" spans="1:3">
      <c r="A44" s="8" t="s">
        <v>164</v>
      </c>
      <c r="B44" s="9" t="s">
        <v>1805</v>
      </c>
      <c r="C44" s="10">
        <v>-0.43540250000000003</v>
      </c>
    </row>
    <row r="45" spans="1:3">
      <c r="A45" s="8" t="s">
        <v>131</v>
      </c>
      <c r="B45" s="9" t="s">
        <v>1806</v>
      </c>
      <c r="C45" s="10">
        <v>1.3348340000000001</v>
      </c>
    </row>
    <row r="46" spans="1:3">
      <c r="A46" s="8" t="s">
        <v>135</v>
      </c>
      <c r="B46" s="9" t="s">
        <v>134</v>
      </c>
      <c r="C46" s="10">
        <v>1.2973030000000001</v>
      </c>
    </row>
    <row r="47" spans="1:3">
      <c r="A47" s="8" t="s">
        <v>109</v>
      </c>
      <c r="B47" s="9" t="s">
        <v>1807</v>
      </c>
      <c r="C47" s="10">
        <v>1.4324170000000001</v>
      </c>
    </row>
    <row r="48" spans="1:3">
      <c r="A48" s="8" t="s">
        <v>154</v>
      </c>
      <c r="B48" s="9" t="s">
        <v>1808</v>
      </c>
      <c r="C48" s="10">
        <v>0.37402069999999998</v>
      </c>
    </row>
    <row r="49" spans="1:3">
      <c r="A49" s="8" t="s">
        <v>141</v>
      </c>
      <c r="B49" s="9" t="s">
        <v>140</v>
      </c>
      <c r="C49" s="10">
        <v>1.242567</v>
      </c>
    </row>
    <row r="50" spans="1:3">
      <c r="A50" s="8" t="s">
        <v>107</v>
      </c>
      <c r="B50" s="9" t="s">
        <v>1809</v>
      </c>
      <c r="C50" s="10">
        <v>1.440985</v>
      </c>
    </row>
    <row r="51" spans="1:3">
      <c r="A51" s="8" t="s">
        <v>143</v>
      </c>
      <c r="B51" s="9" t="s">
        <v>1810</v>
      </c>
      <c r="C51" s="10">
        <v>1.1984090000000001</v>
      </c>
    </row>
    <row r="52" spans="1:3">
      <c r="A52" s="8" t="s">
        <v>111</v>
      </c>
      <c r="B52" s="9" t="s">
        <v>1811</v>
      </c>
      <c r="C52" s="10">
        <v>1.4267570000000001</v>
      </c>
    </row>
    <row r="53" spans="1:3">
      <c r="A53" s="8" t="s">
        <v>147</v>
      </c>
      <c r="B53" s="9" t="s">
        <v>1812</v>
      </c>
      <c r="C53" s="10">
        <v>1.047687</v>
      </c>
    </row>
    <row r="54" spans="1:3">
      <c r="A54" s="8" t="s">
        <v>105</v>
      </c>
      <c r="B54" s="9" t="s">
        <v>1813</v>
      </c>
      <c r="C54" s="10">
        <v>1.4819560000000001</v>
      </c>
    </row>
    <row r="55" spans="1:3">
      <c r="A55" s="8" t="s">
        <v>1814</v>
      </c>
      <c r="B55" s="9" t="s">
        <v>1815</v>
      </c>
      <c r="C55" s="10">
        <v>0.84132030000000002</v>
      </c>
    </row>
    <row r="56" spans="1:3">
      <c r="A56" s="8" t="s">
        <v>103</v>
      </c>
      <c r="B56" s="9" t="s">
        <v>1816</v>
      </c>
      <c r="C56" s="10">
        <v>1.502988</v>
      </c>
    </row>
    <row r="57" spans="1:3">
      <c r="A57" s="8" t="s">
        <v>129</v>
      </c>
      <c r="B57" s="9" t="s">
        <v>1817</v>
      </c>
      <c r="C57" s="10">
        <v>1.3452679999999999</v>
      </c>
    </row>
    <row r="58" spans="1:3">
      <c r="A58" s="8" t="s">
        <v>119</v>
      </c>
      <c r="B58" s="9" t="s">
        <v>1818</v>
      </c>
      <c r="C58" s="10">
        <v>1.3806149999999999</v>
      </c>
    </row>
    <row r="59" spans="1:3">
      <c r="A59" s="8" t="s">
        <v>113</v>
      </c>
      <c r="B59" s="9" t="s">
        <v>1819</v>
      </c>
      <c r="C59" s="10">
        <v>1.400749</v>
      </c>
    </row>
    <row r="60" spans="1:3">
      <c r="A60" s="8" t="s">
        <v>133</v>
      </c>
      <c r="B60" s="9" t="s">
        <v>1820</v>
      </c>
      <c r="C60" s="10">
        <v>1.3266519999999999</v>
      </c>
    </row>
    <row r="61" spans="1:3">
      <c r="A61" s="8" t="s">
        <v>100</v>
      </c>
      <c r="B61" s="9" t="s">
        <v>1821</v>
      </c>
      <c r="C61" s="10">
        <v>1.5260640000000001</v>
      </c>
    </row>
    <row r="62" spans="1:3">
      <c r="A62" s="8" t="s">
        <v>117</v>
      </c>
      <c r="B62" s="9" t="s">
        <v>1822</v>
      </c>
      <c r="C62" s="10">
        <v>1.385381</v>
      </c>
    </row>
    <row r="63" spans="1:3">
      <c r="A63" s="8" t="s">
        <v>115</v>
      </c>
      <c r="B63" s="9" t="s">
        <v>1823</v>
      </c>
      <c r="C63" s="10">
        <v>1.3857390000000001</v>
      </c>
    </row>
    <row r="64" spans="1:3">
      <c r="A64" s="8" t="s">
        <v>123</v>
      </c>
      <c r="B64" s="9" t="s">
        <v>1824</v>
      </c>
      <c r="C64" s="10">
        <v>1.3668199999999999</v>
      </c>
    </row>
    <row r="65" spans="1:3">
      <c r="A65" s="8" t="s">
        <v>137</v>
      </c>
      <c r="B65" s="9" t="s">
        <v>1825</v>
      </c>
      <c r="C65" s="10">
        <v>1.2937099999999999</v>
      </c>
    </row>
    <row r="66" spans="1:3">
      <c r="A66" s="8" t="s">
        <v>125</v>
      </c>
      <c r="B66" s="9" t="s">
        <v>1826</v>
      </c>
      <c r="C66" s="10">
        <v>1.361362</v>
      </c>
    </row>
    <row r="67" spans="1:3">
      <c r="A67" s="8" t="s">
        <v>1827</v>
      </c>
      <c r="B67" s="9" t="s">
        <v>1828</v>
      </c>
      <c r="C67" s="10">
        <v>1.154269</v>
      </c>
    </row>
    <row r="68" spans="1:3">
      <c r="A68" s="8" t="s">
        <v>1829</v>
      </c>
      <c r="B68" s="9" t="s">
        <v>1830</v>
      </c>
      <c r="C68" s="10">
        <v>1.19815</v>
      </c>
    </row>
    <row r="69" spans="1:3">
      <c r="A69" s="8" t="s">
        <v>1831</v>
      </c>
      <c r="B69" s="9" t="s">
        <v>1832</v>
      </c>
      <c r="C69" s="10">
        <v>1.250146</v>
      </c>
    </row>
    <row r="70" spans="1:3">
      <c r="A70" s="8" t="s">
        <v>1833</v>
      </c>
      <c r="B70" s="9" t="s">
        <v>1834</v>
      </c>
      <c r="C70" s="10">
        <v>1.271506</v>
      </c>
    </row>
    <row r="71" spans="1:3">
      <c r="A71" s="8" t="s">
        <v>1835</v>
      </c>
      <c r="B71" s="9" t="s">
        <v>1836</v>
      </c>
      <c r="C71" s="10">
        <v>1.200923</v>
      </c>
    </row>
    <row r="72" spans="1:3">
      <c r="A72" s="8" t="s">
        <v>1837</v>
      </c>
      <c r="B72" s="9" t="s">
        <v>1838</v>
      </c>
      <c r="C72" s="10">
        <v>1.2833079999999999</v>
      </c>
    </row>
    <row r="73" spans="1:3">
      <c r="A73" s="8" t="s">
        <v>1839</v>
      </c>
      <c r="B73" s="9" t="s">
        <v>1840</v>
      </c>
      <c r="C73" s="10">
        <v>1.0894630000000001</v>
      </c>
    </row>
    <row r="74" spans="1:3">
      <c r="A74" s="8" t="s">
        <v>1841</v>
      </c>
      <c r="B74" s="9" t="s">
        <v>1842</v>
      </c>
      <c r="C74" s="10">
        <v>1.2848630000000001</v>
      </c>
    </row>
    <row r="75" spans="1:3">
      <c r="A75" s="8" t="s">
        <v>1843</v>
      </c>
      <c r="B75" s="9" t="s">
        <v>1844</v>
      </c>
      <c r="C75" s="10">
        <v>0.78953150000000005</v>
      </c>
    </row>
    <row r="76" spans="1:3">
      <c r="A76" s="8" t="s">
        <v>1845</v>
      </c>
      <c r="B76" s="9" t="s">
        <v>1846</v>
      </c>
      <c r="C76" s="10">
        <v>0.58033060000000003</v>
      </c>
    </row>
    <row r="77" spans="1:3">
      <c r="A77" s="8" t="s">
        <v>1847</v>
      </c>
      <c r="B77" s="9" t="s">
        <v>1848</v>
      </c>
      <c r="C77" s="10">
        <v>0.29934300000000003</v>
      </c>
    </row>
    <row r="78" spans="1:3">
      <c r="A78" s="8" t="s">
        <v>1849</v>
      </c>
      <c r="B78" s="9" t="s">
        <v>1850</v>
      </c>
      <c r="C78" s="10">
        <v>0.7860606</v>
      </c>
    </row>
    <row r="79" spans="1:3">
      <c r="A79" s="8" t="s">
        <v>1851</v>
      </c>
      <c r="B79" s="9" t="s">
        <v>1852</v>
      </c>
      <c r="C79" s="10">
        <v>1.2327049999999999</v>
      </c>
    </row>
    <row r="80" spans="1:3">
      <c r="A80" s="8" t="s">
        <v>167</v>
      </c>
      <c r="B80" s="9" t="s">
        <v>166</v>
      </c>
      <c r="C80" s="10">
        <v>1.5164740000000001</v>
      </c>
    </row>
    <row r="81" spans="1:3">
      <c r="A81" s="8" t="s">
        <v>170</v>
      </c>
      <c r="B81" s="9" t="s">
        <v>169</v>
      </c>
      <c r="C81" s="10">
        <v>1.4723189999999999</v>
      </c>
    </row>
    <row r="82" spans="1:3">
      <c r="A82" s="8" t="s">
        <v>172</v>
      </c>
      <c r="B82" s="9" t="s">
        <v>1853</v>
      </c>
      <c r="C82" s="10">
        <v>1.40002</v>
      </c>
    </row>
    <row r="83" spans="1:3">
      <c r="A83" s="8" t="s">
        <v>174</v>
      </c>
      <c r="B83" s="9" t="s">
        <v>173</v>
      </c>
      <c r="C83" s="10">
        <v>1.3827240000000001</v>
      </c>
    </row>
    <row r="84" spans="1:3">
      <c r="A84" s="8" t="s">
        <v>1854</v>
      </c>
      <c r="B84" s="9" t="s">
        <v>1855</v>
      </c>
      <c r="C84" s="10">
        <v>0.75598030000000005</v>
      </c>
    </row>
    <row r="85" spans="1:3">
      <c r="A85" s="8" t="s">
        <v>232</v>
      </c>
      <c r="B85" s="9" t="s">
        <v>1856</v>
      </c>
      <c r="C85" s="10">
        <v>1.047142</v>
      </c>
    </row>
    <row r="86" spans="1:3">
      <c r="A86" s="8" t="s">
        <v>236</v>
      </c>
      <c r="B86" s="9" t="s">
        <v>1857</v>
      </c>
      <c r="C86" s="10">
        <v>1.0343880000000001</v>
      </c>
    </row>
    <row r="87" spans="1:3">
      <c r="A87" s="8" t="s">
        <v>254</v>
      </c>
      <c r="B87" s="9" t="s">
        <v>1858</v>
      </c>
      <c r="C87" s="10">
        <v>0.81699790000000005</v>
      </c>
    </row>
    <row r="88" spans="1:3">
      <c r="A88" s="8" t="s">
        <v>270</v>
      </c>
      <c r="B88" s="9" t="s">
        <v>269</v>
      </c>
      <c r="C88" s="10">
        <v>0.14606060000000001</v>
      </c>
    </row>
    <row r="89" spans="1:3">
      <c r="A89" s="8" t="s">
        <v>218</v>
      </c>
      <c r="B89" s="9" t="s">
        <v>1859</v>
      </c>
      <c r="C89" s="10">
        <v>1.338738</v>
      </c>
    </row>
    <row r="90" spans="1:3">
      <c r="A90" s="8" t="s">
        <v>244</v>
      </c>
      <c r="B90" s="9" t="s">
        <v>1860</v>
      </c>
      <c r="C90" s="10">
        <v>0.94096360000000001</v>
      </c>
    </row>
    <row r="91" spans="1:3">
      <c r="A91" s="8" t="s">
        <v>242</v>
      </c>
      <c r="B91" s="9" t="s">
        <v>1861</v>
      </c>
      <c r="C91" s="10">
        <v>0.98742390000000002</v>
      </c>
    </row>
    <row r="92" spans="1:3">
      <c r="A92" s="8" t="s">
        <v>216</v>
      </c>
      <c r="B92" s="9" t="s">
        <v>1862</v>
      </c>
      <c r="C92" s="10">
        <v>1.3413360000000001</v>
      </c>
    </row>
    <row r="93" spans="1:3">
      <c r="A93" s="8" t="s">
        <v>222</v>
      </c>
      <c r="B93" s="9" t="s">
        <v>1863</v>
      </c>
      <c r="C93" s="10">
        <v>1.282867</v>
      </c>
    </row>
    <row r="94" spans="1:3">
      <c r="A94" s="8" t="s">
        <v>226</v>
      </c>
      <c r="B94" s="9" t="s">
        <v>1864</v>
      </c>
      <c r="C94" s="10">
        <v>1.141812</v>
      </c>
    </row>
    <row r="95" spans="1:3">
      <c r="A95" s="8" t="s">
        <v>230</v>
      </c>
      <c r="B95" s="9" t="s">
        <v>1865</v>
      </c>
      <c r="C95" s="10">
        <v>1.126725</v>
      </c>
    </row>
    <row r="96" spans="1:3">
      <c r="A96" s="8" t="s">
        <v>258</v>
      </c>
      <c r="B96" s="9" t="s">
        <v>1866</v>
      </c>
      <c r="C96" s="10">
        <v>0.66545779999999999</v>
      </c>
    </row>
    <row r="97" spans="1:3">
      <c r="A97" s="8" t="s">
        <v>214</v>
      </c>
      <c r="B97" s="9" t="s">
        <v>1867</v>
      </c>
      <c r="C97" s="10">
        <v>1.343561</v>
      </c>
    </row>
    <row r="98" spans="1:3">
      <c r="A98" s="8" t="s">
        <v>240</v>
      </c>
      <c r="B98" s="9" t="s">
        <v>1868</v>
      </c>
      <c r="C98" s="10">
        <v>0.99489349999999999</v>
      </c>
    </row>
    <row r="99" spans="1:3">
      <c r="A99" s="8" t="s">
        <v>228</v>
      </c>
      <c r="B99" s="9" t="s">
        <v>1869</v>
      </c>
      <c r="C99" s="10">
        <v>1.1378699999999999</v>
      </c>
    </row>
    <row r="100" spans="1:3">
      <c r="A100" s="8" t="s">
        <v>262</v>
      </c>
      <c r="B100" s="9" t="s">
        <v>1870</v>
      </c>
      <c r="C100" s="10">
        <v>0.54721730000000002</v>
      </c>
    </row>
    <row r="101" spans="1:3">
      <c r="A101" s="8" t="s">
        <v>234</v>
      </c>
      <c r="B101" s="9" t="s">
        <v>1871</v>
      </c>
      <c r="C101" s="10">
        <v>1.0372779999999999</v>
      </c>
    </row>
    <row r="102" spans="1:3">
      <c r="A102" s="8" t="s">
        <v>238</v>
      </c>
      <c r="B102" s="9" t="s">
        <v>1872</v>
      </c>
      <c r="C102" s="10">
        <v>1.0047090000000001</v>
      </c>
    </row>
    <row r="103" spans="1:3">
      <c r="A103" s="8" t="s">
        <v>211</v>
      </c>
      <c r="B103" s="9" t="s">
        <v>1873</v>
      </c>
      <c r="C103" s="10">
        <v>1.3469500000000001</v>
      </c>
    </row>
    <row r="104" spans="1:3">
      <c r="A104" s="8" t="s">
        <v>220</v>
      </c>
      <c r="B104" s="9" t="s">
        <v>1874</v>
      </c>
      <c r="C104" s="10">
        <v>1.3030090000000001</v>
      </c>
    </row>
    <row r="105" spans="1:3">
      <c r="A105" s="8" t="s">
        <v>224</v>
      </c>
      <c r="B105" s="9" t="s">
        <v>1875</v>
      </c>
      <c r="C105" s="10">
        <v>1.247779</v>
      </c>
    </row>
    <row r="106" spans="1:3">
      <c r="A106" s="8" t="s">
        <v>256</v>
      </c>
      <c r="B106" s="9" t="s">
        <v>1876</v>
      </c>
      <c r="C106" s="10">
        <v>0.78756599999999999</v>
      </c>
    </row>
    <row r="107" spans="1:3">
      <c r="A107" s="8" t="s">
        <v>248</v>
      </c>
      <c r="B107" s="9" t="s">
        <v>1877</v>
      </c>
      <c r="C107" s="10">
        <v>0.92339249999999995</v>
      </c>
    </row>
    <row r="108" spans="1:3">
      <c r="A108" s="8" t="s">
        <v>250</v>
      </c>
      <c r="B108" s="9" t="s">
        <v>1878</v>
      </c>
      <c r="C108" s="10">
        <v>0.91016600000000003</v>
      </c>
    </row>
    <row r="109" spans="1:3">
      <c r="A109" s="8" t="s">
        <v>252</v>
      </c>
      <c r="B109" s="9" t="s">
        <v>1879</v>
      </c>
      <c r="C109" s="10">
        <v>0.84100710000000001</v>
      </c>
    </row>
    <row r="110" spans="1:3">
      <c r="A110" s="8" t="s">
        <v>264</v>
      </c>
      <c r="B110" s="9" t="s">
        <v>1880</v>
      </c>
      <c r="C110" s="10">
        <v>0.39094020000000002</v>
      </c>
    </row>
    <row r="111" spans="1:3">
      <c r="A111" s="8" t="s">
        <v>246</v>
      </c>
      <c r="B111" s="9" t="s">
        <v>1881</v>
      </c>
      <c r="C111" s="10">
        <v>0.93232190000000004</v>
      </c>
    </row>
    <row r="112" spans="1:3">
      <c r="A112" s="8" t="s">
        <v>266</v>
      </c>
      <c r="B112" s="9" t="s">
        <v>1882</v>
      </c>
      <c r="C112" s="10">
        <v>0.35152519999999998</v>
      </c>
    </row>
    <row r="113" spans="1:3">
      <c r="A113" s="8" t="s">
        <v>282</v>
      </c>
      <c r="B113" s="9" t="s">
        <v>1883</v>
      </c>
      <c r="C113" s="10">
        <v>-0.30405070000000001</v>
      </c>
    </row>
    <row r="114" spans="1:3">
      <c r="A114" s="8" t="s">
        <v>274</v>
      </c>
      <c r="B114" s="9" t="s">
        <v>1884</v>
      </c>
      <c r="C114" s="10">
        <v>4.3805400000000001E-2</v>
      </c>
    </row>
    <row r="115" spans="1:3">
      <c r="A115" s="8" t="s">
        <v>260</v>
      </c>
      <c r="B115" s="9" t="s">
        <v>1885</v>
      </c>
      <c r="C115" s="10">
        <v>0.61066790000000004</v>
      </c>
    </row>
    <row r="116" spans="1:3">
      <c r="A116" s="8" t="s">
        <v>280</v>
      </c>
      <c r="B116" s="9" t="s">
        <v>1886</v>
      </c>
      <c r="C116" s="10">
        <v>-0.1192367</v>
      </c>
    </row>
    <row r="117" spans="1:3">
      <c r="A117" s="8" t="s">
        <v>268</v>
      </c>
      <c r="B117" s="9" t="s">
        <v>1887</v>
      </c>
      <c r="C117" s="10">
        <v>0.19412779999999999</v>
      </c>
    </row>
    <row r="118" spans="1:3">
      <c r="A118" s="8" t="s">
        <v>272</v>
      </c>
      <c r="B118" s="9" t="s">
        <v>1888</v>
      </c>
      <c r="C118" s="10">
        <v>8.52324E-2</v>
      </c>
    </row>
    <row r="119" spans="1:3">
      <c r="A119" s="8" t="s">
        <v>320</v>
      </c>
      <c r="B119" s="9" t="s">
        <v>1889</v>
      </c>
      <c r="C119" s="10">
        <v>1.041358</v>
      </c>
    </row>
    <row r="120" spans="1:3">
      <c r="A120" s="8" t="s">
        <v>330</v>
      </c>
      <c r="B120" s="9" t="s">
        <v>1890</v>
      </c>
      <c r="C120" s="10">
        <v>0.79435750000000005</v>
      </c>
    </row>
    <row r="121" spans="1:3">
      <c r="A121" s="8" t="s">
        <v>340</v>
      </c>
      <c r="B121" s="9" t="s">
        <v>1891</v>
      </c>
      <c r="C121" s="10">
        <v>0.63206960000000001</v>
      </c>
    </row>
    <row r="122" spans="1:3">
      <c r="A122" s="8" t="s">
        <v>1892</v>
      </c>
      <c r="B122" s="9" t="s">
        <v>1893</v>
      </c>
      <c r="C122" s="10">
        <v>0.752081</v>
      </c>
    </row>
    <row r="123" spans="1:3">
      <c r="A123" s="8" t="s">
        <v>328</v>
      </c>
      <c r="B123" s="9" t="s">
        <v>1894</v>
      </c>
      <c r="C123" s="10">
        <v>0.90605089999999999</v>
      </c>
    </row>
    <row r="124" spans="1:3">
      <c r="A124" s="8" t="s">
        <v>336</v>
      </c>
      <c r="B124" s="9" t="s">
        <v>335</v>
      </c>
      <c r="C124" s="10">
        <v>0.69556470000000004</v>
      </c>
    </row>
    <row r="125" spans="1:3">
      <c r="A125" s="8" t="s">
        <v>346</v>
      </c>
      <c r="B125" s="9" t="s">
        <v>1895</v>
      </c>
      <c r="C125" s="10">
        <v>0.31759530000000002</v>
      </c>
    </row>
    <row r="126" spans="1:3">
      <c r="A126" s="8" t="s">
        <v>326</v>
      </c>
      <c r="B126" s="9" t="s">
        <v>1896</v>
      </c>
      <c r="C126" s="10">
        <v>1.0101929999999999</v>
      </c>
    </row>
    <row r="127" spans="1:3">
      <c r="A127" s="8" t="s">
        <v>354</v>
      </c>
      <c r="B127" s="9" t="s">
        <v>1897</v>
      </c>
      <c r="C127" s="10">
        <v>6.9031300000000004E-2</v>
      </c>
    </row>
    <row r="128" spans="1:3">
      <c r="A128" s="8" t="s">
        <v>380</v>
      </c>
      <c r="B128" s="9" t="s">
        <v>379</v>
      </c>
      <c r="C128" s="10">
        <v>-0.18438099999999999</v>
      </c>
    </row>
    <row r="129" spans="1:3">
      <c r="A129" s="8" t="s">
        <v>287</v>
      </c>
      <c r="B129" s="9" t="s">
        <v>286</v>
      </c>
      <c r="C129" s="10">
        <v>1.4362870000000001</v>
      </c>
    </row>
    <row r="130" spans="1:3">
      <c r="A130" s="8" t="s">
        <v>310</v>
      </c>
      <c r="B130" s="9" t="s">
        <v>1898</v>
      </c>
      <c r="C130" s="10">
        <v>1.279928</v>
      </c>
    </row>
    <row r="131" spans="1:3">
      <c r="A131" s="8" t="s">
        <v>303</v>
      </c>
      <c r="B131" s="9" t="s">
        <v>302</v>
      </c>
      <c r="C131" s="10">
        <v>1.373737</v>
      </c>
    </row>
    <row r="132" spans="1:3">
      <c r="A132" s="8" t="s">
        <v>306</v>
      </c>
      <c r="B132" s="9" t="s">
        <v>305</v>
      </c>
      <c r="C132" s="10">
        <v>1.345736</v>
      </c>
    </row>
    <row r="133" spans="1:3">
      <c r="A133" s="8" t="s">
        <v>301</v>
      </c>
      <c r="B133" s="9" t="s">
        <v>1899</v>
      </c>
      <c r="C133" s="10">
        <v>1.3739170000000001</v>
      </c>
    </row>
    <row r="134" spans="1:3">
      <c r="A134" s="8" t="s">
        <v>342</v>
      </c>
      <c r="B134" s="9" t="s">
        <v>341</v>
      </c>
      <c r="C134" s="10">
        <v>0.50112509999999999</v>
      </c>
    </row>
    <row r="135" spans="1:3">
      <c r="A135" s="8" t="s">
        <v>322</v>
      </c>
      <c r="B135" s="9" t="s">
        <v>1900</v>
      </c>
      <c r="C135" s="10">
        <v>1.0327569999999999</v>
      </c>
    </row>
    <row r="136" spans="1:3">
      <c r="A136" s="8" t="s">
        <v>324</v>
      </c>
      <c r="B136" s="9" t="s">
        <v>1901</v>
      </c>
      <c r="C136" s="10">
        <v>1.014113</v>
      </c>
    </row>
    <row r="137" spans="1:3">
      <c r="A137" s="8" t="s">
        <v>332</v>
      </c>
      <c r="B137" s="9" t="s">
        <v>1902</v>
      </c>
      <c r="C137" s="10">
        <v>0.71434810000000004</v>
      </c>
    </row>
    <row r="138" spans="1:3">
      <c r="A138" s="8" t="s">
        <v>338</v>
      </c>
      <c r="B138" s="9" t="s">
        <v>337</v>
      </c>
      <c r="C138" s="10">
        <v>0.6405071</v>
      </c>
    </row>
    <row r="139" spans="1:3">
      <c r="A139" s="8" t="s">
        <v>316</v>
      </c>
      <c r="B139" s="9" t="s">
        <v>1903</v>
      </c>
      <c r="C139" s="10">
        <v>1.1401570000000001</v>
      </c>
    </row>
    <row r="140" spans="1:3">
      <c r="A140" s="8" t="s">
        <v>295</v>
      </c>
      <c r="B140" s="9" t="s">
        <v>294</v>
      </c>
      <c r="C140" s="10">
        <v>1.403764</v>
      </c>
    </row>
    <row r="141" spans="1:3">
      <c r="A141" s="8" t="s">
        <v>289</v>
      </c>
      <c r="B141" s="9" t="s">
        <v>1904</v>
      </c>
      <c r="C141" s="10">
        <v>1.4265300000000001</v>
      </c>
    </row>
    <row r="142" spans="1:3">
      <c r="A142" s="8" t="s">
        <v>1905</v>
      </c>
      <c r="B142" s="9" t="s">
        <v>1906</v>
      </c>
      <c r="C142" s="10">
        <v>1.456361</v>
      </c>
    </row>
    <row r="143" spans="1:3">
      <c r="A143" s="8" t="s">
        <v>297</v>
      </c>
      <c r="B143" s="9" t="s">
        <v>1907</v>
      </c>
      <c r="C143" s="10">
        <v>1.4024749999999999</v>
      </c>
    </row>
    <row r="144" spans="1:3">
      <c r="A144" s="8" t="s">
        <v>299</v>
      </c>
      <c r="B144" s="9" t="s">
        <v>1908</v>
      </c>
      <c r="C144" s="10">
        <v>1.3898539999999999</v>
      </c>
    </row>
    <row r="145" spans="1:3">
      <c r="A145" s="8" t="s">
        <v>293</v>
      </c>
      <c r="B145" s="9" t="s">
        <v>292</v>
      </c>
      <c r="C145" s="10">
        <v>1.411125</v>
      </c>
    </row>
    <row r="146" spans="1:3">
      <c r="A146" s="8" t="s">
        <v>312</v>
      </c>
      <c r="B146" s="9" t="s">
        <v>1909</v>
      </c>
      <c r="C146" s="10">
        <v>1.2275160000000001</v>
      </c>
    </row>
    <row r="147" spans="1:3">
      <c r="A147" s="8" t="s">
        <v>334</v>
      </c>
      <c r="B147" s="9" t="s">
        <v>1910</v>
      </c>
      <c r="C147" s="10">
        <v>0.69656649999999998</v>
      </c>
    </row>
    <row r="148" spans="1:3">
      <c r="A148" s="8" t="s">
        <v>284</v>
      </c>
      <c r="B148" s="9" t="s">
        <v>283</v>
      </c>
      <c r="C148" s="10">
        <v>1.4362980000000001</v>
      </c>
    </row>
    <row r="149" spans="1:3">
      <c r="A149" s="8" t="s">
        <v>318</v>
      </c>
      <c r="B149" s="9" t="s">
        <v>317</v>
      </c>
      <c r="C149" s="10">
        <v>1.098921</v>
      </c>
    </row>
    <row r="150" spans="1:3">
      <c r="A150" s="8" t="s">
        <v>291</v>
      </c>
      <c r="B150" s="9" t="s">
        <v>1911</v>
      </c>
      <c r="C150" s="10">
        <v>1.418863</v>
      </c>
    </row>
    <row r="151" spans="1:3">
      <c r="A151" s="8" t="s">
        <v>308</v>
      </c>
      <c r="B151" s="9" t="s">
        <v>1912</v>
      </c>
      <c r="C151" s="10">
        <v>1.3280479999999999</v>
      </c>
    </row>
    <row r="152" spans="1:3">
      <c r="A152" s="8" t="s">
        <v>1913</v>
      </c>
      <c r="B152" s="9" t="s">
        <v>1914</v>
      </c>
      <c r="C152" s="10">
        <v>9.5718999999999999E-2</v>
      </c>
    </row>
    <row r="153" spans="1:3">
      <c r="A153" s="8" t="s">
        <v>348</v>
      </c>
      <c r="B153" s="9" t="s">
        <v>1915</v>
      </c>
      <c r="C153" s="10">
        <v>0.30123549999999999</v>
      </c>
    </row>
    <row r="154" spans="1:3">
      <c r="A154" s="8" t="s">
        <v>356</v>
      </c>
      <c r="B154" s="9" t="s">
        <v>1916</v>
      </c>
      <c r="C154" s="10">
        <v>6.2805700000000006E-2</v>
      </c>
    </row>
    <row r="155" spans="1:3">
      <c r="A155" s="8" t="s">
        <v>1917</v>
      </c>
      <c r="B155" s="9" t="s">
        <v>1918</v>
      </c>
      <c r="C155" s="10">
        <v>8.3265900000000004E-2</v>
      </c>
    </row>
    <row r="156" spans="1:3">
      <c r="A156" s="8" t="s">
        <v>352</v>
      </c>
      <c r="B156" s="9" t="s">
        <v>1919</v>
      </c>
      <c r="C156" s="10">
        <v>0.1696743</v>
      </c>
    </row>
    <row r="157" spans="1:3">
      <c r="A157" s="8" t="s">
        <v>314</v>
      </c>
      <c r="B157" s="9" t="s">
        <v>1920</v>
      </c>
      <c r="C157" s="10">
        <v>1.2046520000000001</v>
      </c>
    </row>
    <row r="158" spans="1:3">
      <c r="A158" s="8" t="s">
        <v>1921</v>
      </c>
      <c r="B158" s="9" t="s">
        <v>1922</v>
      </c>
      <c r="C158" s="10">
        <v>1.6945200000000001E-2</v>
      </c>
    </row>
    <row r="159" spans="1:3">
      <c r="A159" s="8" t="s">
        <v>350</v>
      </c>
      <c r="B159" s="9" t="s">
        <v>1923</v>
      </c>
      <c r="C159" s="10">
        <v>0.24005180000000001</v>
      </c>
    </row>
    <row r="160" spans="1:3">
      <c r="A160" s="8" t="s">
        <v>1924</v>
      </c>
      <c r="B160" s="9" t="s">
        <v>1925</v>
      </c>
      <c r="C160" s="10">
        <v>-0.66723960000000004</v>
      </c>
    </row>
    <row r="161" spans="1:3">
      <c r="A161" s="8" t="s">
        <v>344</v>
      </c>
      <c r="B161" s="9" t="s">
        <v>1926</v>
      </c>
      <c r="C161" s="10">
        <v>0.45010440000000002</v>
      </c>
    </row>
    <row r="162" spans="1:3">
      <c r="A162" s="8" t="s">
        <v>1927</v>
      </c>
      <c r="B162" s="9" t="s">
        <v>1928</v>
      </c>
      <c r="C162" s="10">
        <v>1.0308409999999999</v>
      </c>
    </row>
    <row r="163" spans="1:3">
      <c r="A163" s="8" t="s">
        <v>391</v>
      </c>
      <c r="B163" s="9" t="s">
        <v>1929</v>
      </c>
      <c r="C163" s="10">
        <v>0.97392869999999998</v>
      </c>
    </row>
    <row r="164" spans="1:3">
      <c r="A164" s="8" t="s">
        <v>382</v>
      </c>
      <c r="B164" s="9" t="s">
        <v>1930</v>
      </c>
      <c r="C164" s="10">
        <v>1.367434</v>
      </c>
    </row>
    <row r="165" spans="1:3">
      <c r="A165" s="8" t="s">
        <v>1931</v>
      </c>
      <c r="B165" s="9" t="s">
        <v>1932</v>
      </c>
      <c r="C165" s="10">
        <v>1.34239</v>
      </c>
    </row>
    <row r="166" spans="1:3">
      <c r="A166" s="8" t="s">
        <v>401</v>
      </c>
      <c r="B166" s="9" t="s">
        <v>1933</v>
      </c>
      <c r="C166" s="10">
        <v>0.50250139999999999</v>
      </c>
    </row>
    <row r="167" spans="1:3">
      <c r="A167" s="8" t="s">
        <v>395</v>
      </c>
      <c r="B167" s="9" t="s">
        <v>1934</v>
      </c>
      <c r="C167" s="10">
        <v>0.77617069999999999</v>
      </c>
    </row>
    <row r="168" spans="1:3">
      <c r="A168" s="8" t="s">
        <v>393</v>
      </c>
      <c r="B168" s="9" t="s">
        <v>1935</v>
      </c>
      <c r="C168" s="10">
        <v>0.93396480000000004</v>
      </c>
    </row>
    <row r="169" spans="1:3">
      <c r="A169" s="8" t="s">
        <v>389</v>
      </c>
      <c r="B169" s="9" t="s">
        <v>1936</v>
      </c>
      <c r="C169" s="10">
        <v>1.119216</v>
      </c>
    </row>
    <row r="170" spans="1:3">
      <c r="A170" s="8" t="s">
        <v>397</v>
      </c>
      <c r="B170" s="9" t="s">
        <v>1937</v>
      </c>
      <c r="C170" s="10">
        <v>0.691658</v>
      </c>
    </row>
    <row r="171" spans="1:3">
      <c r="A171" s="8" t="s">
        <v>399</v>
      </c>
      <c r="B171" s="9" t="s">
        <v>1938</v>
      </c>
      <c r="C171" s="10">
        <v>0.52724479999999996</v>
      </c>
    </row>
    <row r="172" spans="1:3">
      <c r="A172" s="8" t="s">
        <v>403</v>
      </c>
      <c r="B172" s="9" t="s">
        <v>1939</v>
      </c>
      <c r="C172" s="10">
        <v>0.46522550000000001</v>
      </c>
    </row>
    <row r="173" spans="1:3">
      <c r="A173" s="8" t="s">
        <v>405</v>
      </c>
      <c r="B173" s="9" t="s">
        <v>1940</v>
      </c>
      <c r="C173" s="10">
        <v>3.71229E-2</v>
      </c>
    </row>
    <row r="174" spans="1:3">
      <c r="A174" s="8" t="s">
        <v>385</v>
      </c>
      <c r="B174" s="9" t="s">
        <v>384</v>
      </c>
      <c r="C174" s="10">
        <v>1.282559</v>
      </c>
    </row>
    <row r="175" spans="1:3">
      <c r="A175" s="8" t="s">
        <v>387</v>
      </c>
      <c r="B175" s="9" t="s">
        <v>1941</v>
      </c>
      <c r="C175" s="10">
        <v>1.2109220000000001</v>
      </c>
    </row>
    <row r="176" spans="1:3">
      <c r="A176" s="8" t="s">
        <v>426</v>
      </c>
      <c r="B176" s="9" t="s">
        <v>425</v>
      </c>
      <c r="C176" s="10">
        <v>1.328783</v>
      </c>
    </row>
    <row r="177" spans="1:3">
      <c r="A177" s="8" t="s">
        <v>420</v>
      </c>
      <c r="B177" s="9" t="s">
        <v>1942</v>
      </c>
      <c r="C177" s="10">
        <v>1.4629730000000001</v>
      </c>
    </row>
    <row r="178" spans="1:3">
      <c r="A178" s="8" t="s">
        <v>424</v>
      </c>
      <c r="B178" s="9" t="s">
        <v>1943</v>
      </c>
      <c r="C178" s="10">
        <v>1.374714</v>
      </c>
    </row>
    <row r="179" spans="1:3">
      <c r="A179" s="8" t="s">
        <v>422</v>
      </c>
      <c r="B179" s="9" t="s">
        <v>1944</v>
      </c>
      <c r="C179" s="10">
        <v>1.4315929999999999</v>
      </c>
    </row>
    <row r="180" spans="1:3">
      <c r="A180" s="8" t="s">
        <v>417</v>
      </c>
      <c r="B180" s="9" t="s">
        <v>1945</v>
      </c>
      <c r="C180" s="10">
        <v>1.496494</v>
      </c>
    </row>
    <row r="181" spans="1:3">
      <c r="A181" s="8" t="s">
        <v>428</v>
      </c>
      <c r="B181" s="9" t="s">
        <v>1946</v>
      </c>
      <c r="C181" s="10">
        <v>1.292055</v>
      </c>
    </row>
    <row r="182" spans="1:3">
      <c r="A182" s="8" t="s">
        <v>1947</v>
      </c>
      <c r="B182" s="9" t="s">
        <v>1948</v>
      </c>
      <c r="C182" s="10">
        <v>0.83524600000000004</v>
      </c>
    </row>
    <row r="183" spans="1:3">
      <c r="A183" s="8" t="s">
        <v>430</v>
      </c>
      <c r="B183" s="9" t="s">
        <v>1949</v>
      </c>
      <c r="C183" s="10">
        <v>1.279954</v>
      </c>
    </row>
    <row r="184" spans="1:3">
      <c r="A184" s="8" t="s">
        <v>451</v>
      </c>
      <c r="B184" s="9" t="s">
        <v>1950</v>
      </c>
      <c r="C184" s="10">
        <v>1.3493139999999999</v>
      </c>
    </row>
    <row r="185" spans="1:3">
      <c r="A185" s="8" t="s">
        <v>487</v>
      </c>
      <c r="B185" s="9" t="s">
        <v>1951</v>
      </c>
      <c r="C185" s="10">
        <v>1.2777780000000001</v>
      </c>
    </row>
    <row r="186" spans="1:3">
      <c r="A186" s="8" t="s">
        <v>463</v>
      </c>
      <c r="B186" s="9" t="s">
        <v>1952</v>
      </c>
      <c r="C186" s="10">
        <v>1.338676</v>
      </c>
    </row>
    <row r="187" spans="1:3">
      <c r="A187" s="8" t="s">
        <v>493</v>
      </c>
      <c r="B187" s="9" t="s">
        <v>1953</v>
      </c>
      <c r="C187" s="10">
        <v>1.2220219999999999</v>
      </c>
    </row>
    <row r="188" spans="1:3">
      <c r="A188" s="8" t="s">
        <v>449</v>
      </c>
      <c r="B188" s="9" t="s">
        <v>1954</v>
      </c>
      <c r="C188" s="10">
        <v>1.3511329999999999</v>
      </c>
    </row>
    <row r="189" spans="1:3">
      <c r="A189" s="8" t="s">
        <v>513</v>
      </c>
      <c r="B189" s="9" t="s">
        <v>1955</v>
      </c>
      <c r="C189" s="10">
        <v>0.75466849999999996</v>
      </c>
    </row>
    <row r="190" spans="1:3">
      <c r="A190" s="8" t="s">
        <v>491</v>
      </c>
      <c r="B190" s="9" t="s">
        <v>1956</v>
      </c>
      <c r="C190" s="10">
        <v>1.2276769999999999</v>
      </c>
    </row>
    <row r="191" spans="1:3">
      <c r="A191" s="8" t="s">
        <v>489</v>
      </c>
      <c r="B191" s="9" t="s">
        <v>1957</v>
      </c>
      <c r="C191" s="10">
        <v>1.260278</v>
      </c>
    </row>
    <row r="192" spans="1:3">
      <c r="A192" s="8" t="s">
        <v>481</v>
      </c>
      <c r="B192" s="9" t="s">
        <v>1958</v>
      </c>
      <c r="C192" s="10">
        <v>1.3061560000000001</v>
      </c>
    </row>
    <row r="193" spans="1:3">
      <c r="A193" s="8" t="s">
        <v>467</v>
      </c>
      <c r="B193" s="9" t="s">
        <v>1959</v>
      </c>
      <c r="C193" s="10">
        <v>1.333947</v>
      </c>
    </row>
    <row r="194" spans="1:3">
      <c r="A194" s="8" t="s">
        <v>457</v>
      </c>
      <c r="B194" s="9" t="s">
        <v>1960</v>
      </c>
      <c r="C194" s="10">
        <v>1.3475189999999999</v>
      </c>
    </row>
    <row r="195" spans="1:3">
      <c r="A195" s="8" t="s">
        <v>503</v>
      </c>
      <c r="B195" s="9" t="s">
        <v>1961</v>
      </c>
      <c r="C195" s="10">
        <v>1.0441910000000001</v>
      </c>
    </row>
    <row r="196" spans="1:3">
      <c r="A196" s="8" t="s">
        <v>473</v>
      </c>
      <c r="B196" s="9" t="s">
        <v>1962</v>
      </c>
      <c r="C196" s="10">
        <v>1.3216939999999999</v>
      </c>
    </row>
    <row r="197" spans="1:3">
      <c r="A197" s="8" t="s">
        <v>479</v>
      </c>
      <c r="B197" s="9" t="s">
        <v>1963</v>
      </c>
      <c r="C197" s="10">
        <v>1.3086990000000001</v>
      </c>
    </row>
    <row r="198" spans="1:3">
      <c r="A198" s="8" t="s">
        <v>475</v>
      </c>
      <c r="B198" s="9" t="s">
        <v>1964</v>
      </c>
      <c r="C198" s="10">
        <v>1.3190120000000001</v>
      </c>
    </row>
    <row r="199" spans="1:3">
      <c r="A199" s="8" t="s">
        <v>477</v>
      </c>
      <c r="B199" s="9" t="s">
        <v>1965</v>
      </c>
      <c r="C199" s="10">
        <v>1.318899</v>
      </c>
    </row>
    <row r="200" spans="1:3">
      <c r="A200" s="8" t="s">
        <v>443</v>
      </c>
      <c r="B200" s="9" t="s">
        <v>1966</v>
      </c>
      <c r="C200" s="10">
        <v>1.3683970000000001</v>
      </c>
    </row>
    <row r="201" spans="1:3">
      <c r="A201" s="8" t="s">
        <v>469</v>
      </c>
      <c r="B201" s="9" t="s">
        <v>1967</v>
      </c>
      <c r="C201" s="10">
        <v>1.3336600000000001</v>
      </c>
    </row>
    <row r="202" spans="1:3">
      <c r="A202" s="8" t="s">
        <v>453</v>
      </c>
      <c r="B202" s="9" t="s">
        <v>1968</v>
      </c>
      <c r="C202" s="10">
        <v>1.349229</v>
      </c>
    </row>
    <row r="203" spans="1:3">
      <c r="A203" s="8" t="s">
        <v>505</v>
      </c>
      <c r="B203" s="9" t="s">
        <v>1969</v>
      </c>
      <c r="C203" s="10">
        <v>0.92475399999999996</v>
      </c>
    </row>
    <row r="204" spans="1:3">
      <c r="A204" s="8" t="s">
        <v>525</v>
      </c>
      <c r="B204" s="9" t="s">
        <v>1970</v>
      </c>
      <c r="C204" s="10">
        <v>0.51706819999999998</v>
      </c>
    </row>
    <row r="205" spans="1:3">
      <c r="A205" s="8" t="s">
        <v>497</v>
      </c>
      <c r="B205" s="9" t="s">
        <v>1971</v>
      </c>
      <c r="C205" s="10">
        <v>1.1929879999999999</v>
      </c>
    </row>
    <row r="206" spans="1:3">
      <c r="A206" s="8" t="s">
        <v>441</v>
      </c>
      <c r="B206" s="9" t="s">
        <v>1972</v>
      </c>
      <c r="C206" s="10">
        <v>1.3862920000000001</v>
      </c>
    </row>
    <row r="207" spans="1:3">
      <c r="A207" s="8" t="s">
        <v>439</v>
      </c>
      <c r="B207" s="9" t="s">
        <v>1973</v>
      </c>
      <c r="C207" s="10">
        <v>1.389999</v>
      </c>
    </row>
    <row r="208" spans="1:3">
      <c r="A208" s="8" t="s">
        <v>447</v>
      </c>
      <c r="B208" s="9" t="s">
        <v>1974</v>
      </c>
      <c r="C208" s="10">
        <v>1.3564499999999999</v>
      </c>
    </row>
    <row r="209" spans="1:3">
      <c r="A209" s="8" t="s">
        <v>461</v>
      </c>
      <c r="B209" s="9" t="s">
        <v>1975</v>
      </c>
      <c r="C209" s="10">
        <v>1.3473269999999999</v>
      </c>
    </row>
    <row r="210" spans="1:3">
      <c r="A210" s="8" t="s">
        <v>511</v>
      </c>
      <c r="B210" s="9" t="s">
        <v>1976</v>
      </c>
      <c r="C210" s="10">
        <v>0.75827690000000003</v>
      </c>
    </row>
    <row r="211" spans="1:3">
      <c r="A211" s="8" t="s">
        <v>459</v>
      </c>
      <c r="B211" s="9" t="s">
        <v>1977</v>
      </c>
      <c r="C211" s="10">
        <v>1.3474349999999999</v>
      </c>
    </row>
    <row r="212" spans="1:3">
      <c r="A212" s="8" t="s">
        <v>437</v>
      </c>
      <c r="B212" s="9" t="s">
        <v>1978</v>
      </c>
      <c r="C212" s="10">
        <v>1.4178329999999999</v>
      </c>
    </row>
    <row r="213" spans="1:3">
      <c r="A213" s="8" t="s">
        <v>465</v>
      </c>
      <c r="B213" s="9" t="s">
        <v>1979</v>
      </c>
      <c r="C213" s="10">
        <v>1.33412</v>
      </c>
    </row>
    <row r="214" spans="1:3">
      <c r="A214" s="8" t="s">
        <v>434</v>
      </c>
      <c r="B214" s="9" t="s">
        <v>1980</v>
      </c>
      <c r="C214" s="10">
        <v>1.4374899999999999</v>
      </c>
    </row>
    <row r="215" spans="1:3">
      <c r="A215" s="8" t="s">
        <v>445</v>
      </c>
      <c r="B215" s="9" t="s">
        <v>1981</v>
      </c>
      <c r="C215" s="10">
        <v>1.3635219999999999</v>
      </c>
    </row>
    <row r="216" spans="1:3">
      <c r="A216" s="8" t="s">
        <v>1982</v>
      </c>
      <c r="B216" s="9" t="s">
        <v>1983</v>
      </c>
      <c r="C216" s="10">
        <v>1.111356</v>
      </c>
    </row>
    <row r="217" spans="1:3">
      <c r="A217" s="8" t="s">
        <v>495</v>
      </c>
      <c r="B217" s="9" t="s">
        <v>1984</v>
      </c>
      <c r="C217" s="10">
        <v>1.211652</v>
      </c>
    </row>
    <row r="218" spans="1:3">
      <c r="A218" s="8" t="s">
        <v>501</v>
      </c>
      <c r="B218" s="9" t="s">
        <v>1985</v>
      </c>
      <c r="C218" s="10">
        <v>1.16489</v>
      </c>
    </row>
    <row r="219" spans="1:3">
      <c r="A219" s="8" t="s">
        <v>533</v>
      </c>
      <c r="B219" s="9" t="s">
        <v>1986</v>
      </c>
      <c r="C219" s="10">
        <v>0.16221849999999999</v>
      </c>
    </row>
    <row r="220" spans="1:3">
      <c r="A220" s="8" t="s">
        <v>537</v>
      </c>
      <c r="B220" s="9" t="s">
        <v>1987</v>
      </c>
      <c r="C220" s="10">
        <v>3.06372E-2</v>
      </c>
    </row>
    <row r="221" spans="1:3">
      <c r="A221" s="8" t="s">
        <v>531</v>
      </c>
      <c r="B221" s="9" t="s">
        <v>1988</v>
      </c>
      <c r="C221" s="10">
        <v>0.36440470000000003</v>
      </c>
    </row>
    <row r="222" spans="1:3">
      <c r="A222" s="8" t="s">
        <v>507</v>
      </c>
      <c r="B222" s="9" t="s">
        <v>1989</v>
      </c>
      <c r="C222" s="10">
        <v>0.88694910000000005</v>
      </c>
    </row>
    <row r="223" spans="1:3">
      <c r="A223" s="8" t="s">
        <v>485</v>
      </c>
      <c r="B223" s="9" t="s">
        <v>1990</v>
      </c>
      <c r="C223" s="10">
        <v>1.2864450000000001</v>
      </c>
    </row>
    <row r="224" spans="1:3">
      <c r="A224" s="8" t="s">
        <v>523</v>
      </c>
      <c r="B224" s="9" t="s">
        <v>1991</v>
      </c>
      <c r="C224" s="10">
        <v>0.51991909999999997</v>
      </c>
    </row>
    <row r="225" spans="1:3">
      <c r="A225" s="8" t="s">
        <v>499</v>
      </c>
      <c r="B225" s="9" t="s">
        <v>1992</v>
      </c>
      <c r="C225" s="10">
        <v>1.191325</v>
      </c>
    </row>
    <row r="226" spans="1:3">
      <c r="A226" s="8" t="s">
        <v>529</v>
      </c>
      <c r="B226" s="9" t="s">
        <v>1993</v>
      </c>
      <c r="C226" s="10">
        <v>0.37345050000000002</v>
      </c>
    </row>
    <row r="227" spans="1:3">
      <c r="A227" s="8" t="s">
        <v>527</v>
      </c>
      <c r="B227" s="9" t="s">
        <v>1994</v>
      </c>
      <c r="C227" s="10">
        <v>0.37505640000000001</v>
      </c>
    </row>
    <row r="228" spans="1:3">
      <c r="A228" s="8" t="s">
        <v>517</v>
      </c>
      <c r="B228" s="9" t="s">
        <v>1995</v>
      </c>
      <c r="C228" s="10">
        <v>0.73574859999999997</v>
      </c>
    </row>
    <row r="229" spans="1:3">
      <c r="A229" s="8" t="s">
        <v>1996</v>
      </c>
      <c r="B229" s="9" t="s">
        <v>1997</v>
      </c>
      <c r="C229" s="10">
        <v>1.2960719999999999</v>
      </c>
    </row>
    <row r="230" spans="1:3">
      <c r="A230" s="8" t="s">
        <v>1998</v>
      </c>
      <c r="B230" s="9" t="s">
        <v>1999</v>
      </c>
      <c r="C230" s="10">
        <v>0.95876530000000004</v>
      </c>
    </row>
    <row r="231" spans="1:3">
      <c r="A231" s="8" t="s">
        <v>561</v>
      </c>
      <c r="B231" s="9" t="s">
        <v>2000</v>
      </c>
      <c r="C231" s="10">
        <v>-0.66329170000000004</v>
      </c>
    </row>
    <row r="232" spans="1:3">
      <c r="A232" s="8" t="s">
        <v>455</v>
      </c>
      <c r="B232" s="9" t="s">
        <v>2001</v>
      </c>
      <c r="C232" s="10">
        <v>1.348951</v>
      </c>
    </row>
    <row r="233" spans="1:3">
      <c r="A233" s="8" t="s">
        <v>521</v>
      </c>
      <c r="B233" s="9" t="s">
        <v>2002</v>
      </c>
      <c r="C233" s="10">
        <v>0.52635200000000004</v>
      </c>
    </row>
    <row r="234" spans="1:3">
      <c r="A234" s="8" t="s">
        <v>471</v>
      </c>
      <c r="B234" s="9" t="s">
        <v>2003</v>
      </c>
      <c r="C234" s="10">
        <v>1.3253299999999999</v>
      </c>
    </row>
    <row r="235" spans="1:3">
      <c r="A235" s="8" t="s">
        <v>519</v>
      </c>
      <c r="B235" s="9" t="s">
        <v>518</v>
      </c>
      <c r="C235" s="10">
        <v>0.67656019999999994</v>
      </c>
    </row>
    <row r="236" spans="1:3">
      <c r="A236" s="8" t="s">
        <v>515</v>
      </c>
      <c r="B236" s="9" t="s">
        <v>514</v>
      </c>
      <c r="C236" s="10">
        <v>0.73666580000000004</v>
      </c>
    </row>
    <row r="237" spans="1:3">
      <c r="A237" s="8" t="s">
        <v>559</v>
      </c>
      <c r="B237" s="9" t="s">
        <v>2004</v>
      </c>
      <c r="C237" s="10">
        <v>-9.1210700000000006E-2</v>
      </c>
    </row>
    <row r="238" spans="1:3">
      <c r="A238" s="8" t="s">
        <v>2005</v>
      </c>
      <c r="B238" s="9" t="s">
        <v>2006</v>
      </c>
      <c r="C238" s="10">
        <v>1.037039</v>
      </c>
    </row>
    <row r="239" spans="1:3">
      <c r="A239" s="8" t="s">
        <v>535</v>
      </c>
      <c r="B239" s="9" t="s">
        <v>2007</v>
      </c>
      <c r="C239" s="10">
        <v>3.7964999999999999E-2</v>
      </c>
    </row>
    <row r="240" spans="1:3">
      <c r="A240" s="8" t="s">
        <v>2008</v>
      </c>
      <c r="B240" s="9" t="s">
        <v>2009</v>
      </c>
      <c r="C240" s="10">
        <v>0.4508702</v>
      </c>
    </row>
    <row r="241" spans="1:3">
      <c r="A241" s="8" t="s">
        <v>509</v>
      </c>
      <c r="B241" s="9" t="s">
        <v>2010</v>
      </c>
      <c r="C241" s="10">
        <v>0.86040309999999998</v>
      </c>
    </row>
    <row r="242" spans="1:3">
      <c r="A242" s="8" t="s">
        <v>483</v>
      </c>
      <c r="B242" s="9" t="s">
        <v>2011</v>
      </c>
      <c r="C242" s="10">
        <v>1.301855</v>
      </c>
    </row>
    <row r="243" spans="1:3">
      <c r="A243" s="8" t="s">
        <v>2012</v>
      </c>
      <c r="B243" s="9" t="s">
        <v>2013</v>
      </c>
      <c r="C243" s="10">
        <v>0.4516636</v>
      </c>
    </row>
    <row r="244" spans="1:3">
      <c r="A244" s="8" t="s">
        <v>574</v>
      </c>
      <c r="B244" s="9" t="s">
        <v>2014</v>
      </c>
      <c r="C244" s="10">
        <v>1.02251</v>
      </c>
    </row>
    <row r="245" spans="1:3">
      <c r="A245" s="8" t="s">
        <v>636</v>
      </c>
      <c r="B245" s="9" t="s">
        <v>2015</v>
      </c>
      <c r="C245" s="10">
        <v>-0.92952840000000003</v>
      </c>
    </row>
    <row r="246" spans="1:3">
      <c r="A246" s="8" t="s">
        <v>634</v>
      </c>
      <c r="B246" s="9" t="s">
        <v>2016</v>
      </c>
      <c r="C246" s="10">
        <v>-0.56904980000000005</v>
      </c>
    </row>
    <row r="247" spans="1:3">
      <c r="A247" s="8" t="s">
        <v>590</v>
      </c>
      <c r="B247" s="9" t="s">
        <v>2017</v>
      </c>
      <c r="C247" s="10">
        <v>0.70586510000000002</v>
      </c>
    </row>
    <row r="248" spans="1:3">
      <c r="A248" s="8" t="s">
        <v>584</v>
      </c>
      <c r="B248" s="9" t="s">
        <v>2018</v>
      </c>
      <c r="C248" s="10">
        <v>0.867039</v>
      </c>
    </row>
    <row r="249" spans="1:3">
      <c r="A249" s="8" t="s">
        <v>592</v>
      </c>
      <c r="B249" s="9" t="s">
        <v>2019</v>
      </c>
      <c r="C249" s="10">
        <v>0.5801539</v>
      </c>
    </row>
    <row r="250" spans="1:3">
      <c r="A250" s="8" t="s">
        <v>630</v>
      </c>
      <c r="B250" s="9" t="s">
        <v>2020</v>
      </c>
      <c r="C250" s="10">
        <v>-0.27184520000000001</v>
      </c>
    </row>
    <row r="251" spans="1:3">
      <c r="A251" s="8" t="s">
        <v>588</v>
      </c>
      <c r="B251" s="9" t="s">
        <v>2021</v>
      </c>
      <c r="C251" s="10">
        <v>0.71569579999999999</v>
      </c>
    </row>
    <row r="252" spans="1:3">
      <c r="A252" s="8" t="s">
        <v>570</v>
      </c>
      <c r="B252" s="9" t="s">
        <v>2022</v>
      </c>
      <c r="C252" s="10">
        <v>1.12168</v>
      </c>
    </row>
    <row r="253" spans="1:3">
      <c r="A253" s="8" t="s">
        <v>638</v>
      </c>
      <c r="B253" s="9" t="s">
        <v>2023</v>
      </c>
      <c r="C253" s="10">
        <v>-1.0014130000000001</v>
      </c>
    </row>
    <row r="254" spans="1:3">
      <c r="A254" s="8" t="s">
        <v>626</v>
      </c>
      <c r="B254" s="9" t="s">
        <v>2024</v>
      </c>
      <c r="C254" s="10">
        <v>-5.1932300000000001E-2</v>
      </c>
    </row>
    <row r="255" spans="1:3">
      <c r="A255" s="8" t="s">
        <v>596</v>
      </c>
      <c r="B255" s="9" t="s">
        <v>595</v>
      </c>
      <c r="C255" s="10">
        <v>0.1590935</v>
      </c>
    </row>
    <row r="256" spans="1:3">
      <c r="A256" s="8" t="s">
        <v>580</v>
      </c>
      <c r="B256" s="9" t="s">
        <v>2025</v>
      </c>
      <c r="C256" s="10">
        <v>0.93881079999999995</v>
      </c>
    </row>
    <row r="257" spans="1:3">
      <c r="A257" s="8" t="s">
        <v>642</v>
      </c>
      <c r="B257" s="9" t="s">
        <v>2026</v>
      </c>
      <c r="C257" s="10">
        <v>-1.8143359999999999</v>
      </c>
    </row>
    <row r="258" spans="1:3">
      <c r="A258" s="8" t="s">
        <v>600</v>
      </c>
      <c r="B258" s="9" t="s">
        <v>2027</v>
      </c>
      <c r="C258" s="10">
        <v>0.11686680000000001</v>
      </c>
    </row>
    <row r="259" spans="1:3">
      <c r="A259" s="8" t="s">
        <v>624</v>
      </c>
      <c r="B259" s="9" t="s">
        <v>2028</v>
      </c>
      <c r="C259" s="10">
        <v>-3.2561699999999999E-2</v>
      </c>
    </row>
    <row r="260" spans="1:3">
      <c r="A260" s="8" t="s">
        <v>644</v>
      </c>
      <c r="B260" s="9" t="s">
        <v>643</v>
      </c>
      <c r="C260" s="10">
        <v>-2.6697579999999999</v>
      </c>
    </row>
    <row r="261" spans="1:3">
      <c r="A261" s="8" t="s">
        <v>640</v>
      </c>
      <c r="B261" s="9" t="s">
        <v>639</v>
      </c>
      <c r="C261" s="10">
        <v>-1.575769</v>
      </c>
    </row>
    <row r="262" spans="1:3">
      <c r="A262" s="8" t="s">
        <v>582</v>
      </c>
      <c r="B262" s="9" t="s">
        <v>2029</v>
      </c>
      <c r="C262" s="10">
        <v>0.88296410000000003</v>
      </c>
    </row>
    <row r="263" spans="1:3">
      <c r="A263" s="8" t="s">
        <v>620</v>
      </c>
      <c r="B263" s="9" t="s">
        <v>2030</v>
      </c>
      <c r="C263" s="10">
        <v>-4.0058000000000003E-3</v>
      </c>
    </row>
    <row r="264" spans="1:3">
      <c r="A264" s="8" t="s">
        <v>586</v>
      </c>
      <c r="B264" s="9" t="s">
        <v>2031</v>
      </c>
      <c r="C264" s="10">
        <v>0.84935470000000002</v>
      </c>
    </row>
    <row r="265" spans="1:3">
      <c r="A265" s="8" t="s">
        <v>2032</v>
      </c>
      <c r="B265" s="9" t="s">
        <v>2033</v>
      </c>
      <c r="C265" s="10">
        <v>0.6650665</v>
      </c>
    </row>
    <row r="266" spans="1:3">
      <c r="A266" s="8" t="s">
        <v>2034</v>
      </c>
      <c r="B266" s="9" t="s">
        <v>2035</v>
      </c>
      <c r="C266" s="10">
        <v>1.1635169999999999</v>
      </c>
    </row>
    <row r="267" spans="1:3">
      <c r="A267" s="8" t="s">
        <v>2036</v>
      </c>
      <c r="B267" s="9" t="s">
        <v>2037</v>
      </c>
      <c r="C267" s="10">
        <v>1.186679</v>
      </c>
    </row>
    <row r="268" spans="1:3">
      <c r="A268" s="8" t="s">
        <v>563</v>
      </c>
      <c r="B268" s="9" t="s">
        <v>2038</v>
      </c>
      <c r="C268" s="10">
        <v>1.2849269999999999</v>
      </c>
    </row>
    <row r="269" spans="1:3">
      <c r="A269" s="8" t="s">
        <v>568</v>
      </c>
      <c r="B269" s="9" t="s">
        <v>567</v>
      </c>
      <c r="C269" s="10">
        <v>1.1282209999999999</v>
      </c>
    </row>
    <row r="270" spans="1:3">
      <c r="A270" s="8" t="s">
        <v>566</v>
      </c>
      <c r="B270" s="9" t="s">
        <v>2039</v>
      </c>
      <c r="C270" s="10">
        <v>1.1840010000000001</v>
      </c>
    </row>
    <row r="271" spans="1:3">
      <c r="A271" s="8" t="s">
        <v>576</v>
      </c>
      <c r="B271" s="9" t="s">
        <v>2040</v>
      </c>
      <c r="C271" s="10">
        <v>0.98792740000000001</v>
      </c>
    </row>
    <row r="272" spans="1:3">
      <c r="A272" s="8" t="s">
        <v>572</v>
      </c>
      <c r="B272" s="9" t="s">
        <v>2041</v>
      </c>
      <c r="C272" s="10">
        <v>1.1113189999999999</v>
      </c>
    </row>
    <row r="273" spans="1:3">
      <c r="A273" s="8" t="s">
        <v>622</v>
      </c>
      <c r="B273" s="9" t="s">
        <v>2042</v>
      </c>
      <c r="C273" s="10">
        <v>-1.1774700000000001E-2</v>
      </c>
    </row>
    <row r="274" spans="1:3">
      <c r="A274" s="8" t="s">
        <v>598</v>
      </c>
      <c r="B274" s="9" t="s">
        <v>2043</v>
      </c>
      <c r="C274" s="10">
        <v>0.1222249</v>
      </c>
    </row>
    <row r="275" spans="1:3">
      <c r="A275" s="8" t="s">
        <v>2044</v>
      </c>
      <c r="B275" s="9" t="s">
        <v>2045</v>
      </c>
      <c r="C275" s="10">
        <v>0.926126</v>
      </c>
    </row>
    <row r="276" spans="1:3">
      <c r="A276" s="8" t="s">
        <v>594</v>
      </c>
      <c r="B276" s="9" t="s">
        <v>2046</v>
      </c>
      <c r="C276" s="10">
        <v>0.47154620000000003</v>
      </c>
    </row>
    <row r="277" spans="1:3">
      <c r="A277" s="8" t="s">
        <v>628</v>
      </c>
      <c r="B277" s="9" t="s">
        <v>627</v>
      </c>
      <c r="C277" s="10">
        <v>-0.16809730000000001</v>
      </c>
    </row>
    <row r="278" spans="1:3">
      <c r="A278" s="8" t="s">
        <v>632</v>
      </c>
      <c r="B278" s="9" t="s">
        <v>2047</v>
      </c>
      <c r="C278" s="10">
        <v>-0.44700089999999998</v>
      </c>
    </row>
    <row r="279" spans="1:3">
      <c r="A279" s="8" t="s">
        <v>578</v>
      </c>
      <c r="B279" s="9" t="s">
        <v>2048</v>
      </c>
      <c r="C279" s="10">
        <v>0.985707</v>
      </c>
    </row>
    <row r="280" spans="1:3">
      <c r="A280" s="8" t="s">
        <v>766</v>
      </c>
      <c r="B280" s="9" t="s">
        <v>765</v>
      </c>
      <c r="C280" s="10">
        <v>-0.1911757</v>
      </c>
    </row>
    <row r="281" spans="1:3">
      <c r="A281" s="8" t="s">
        <v>762</v>
      </c>
      <c r="B281" s="9" t="s">
        <v>2049</v>
      </c>
      <c r="C281" s="10">
        <v>-0.18133009999999999</v>
      </c>
    </row>
    <row r="282" spans="1:3">
      <c r="A282" s="8" t="s">
        <v>772</v>
      </c>
      <c r="B282" s="9" t="s">
        <v>2050</v>
      </c>
      <c r="C282" s="10">
        <v>-0.23896680000000001</v>
      </c>
    </row>
    <row r="283" spans="1:3">
      <c r="A283" s="8" t="s">
        <v>675</v>
      </c>
      <c r="B283" s="9" t="s">
        <v>674</v>
      </c>
      <c r="C283" s="10">
        <v>0.1616631</v>
      </c>
    </row>
    <row r="284" spans="1:3">
      <c r="A284" s="8" t="s">
        <v>760</v>
      </c>
      <c r="B284" s="9" t="s">
        <v>759</v>
      </c>
      <c r="C284" s="10">
        <v>-0.15614030000000001</v>
      </c>
    </row>
    <row r="285" spans="1:3">
      <c r="A285" s="8" t="s">
        <v>649</v>
      </c>
      <c r="B285" s="9" t="s">
        <v>2051</v>
      </c>
      <c r="C285" s="10">
        <v>1.3428089999999999</v>
      </c>
    </row>
    <row r="286" spans="1:3">
      <c r="A286" s="8" t="s">
        <v>661</v>
      </c>
      <c r="B286" s="9" t="s">
        <v>660</v>
      </c>
      <c r="C286" s="10">
        <v>0.50401940000000001</v>
      </c>
    </row>
    <row r="287" spans="1:3">
      <c r="A287" s="8" t="s">
        <v>657</v>
      </c>
      <c r="B287" s="9" t="s">
        <v>656</v>
      </c>
      <c r="C287" s="10">
        <v>0.60587049999999998</v>
      </c>
    </row>
    <row r="288" spans="1:3">
      <c r="A288" s="8" t="s">
        <v>2052</v>
      </c>
      <c r="B288" s="9" t="s">
        <v>695</v>
      </c>
      <c r="C288" s="10">
        <v>0.23496980000000001</v>
      </c>
    </row>
    <row r="289" spans="1:3">
      <c r="A289" s="8" t="s">
        <v>2053</v>
      </c>
      <c r="B289" s="9" t="s">
        <v>2054</v>
      </c>
      <c r="C289" s="10">
        <v>1.031925</v>
      </c>
    </row>
    <row r="290" spans="1:3">
      <c r="A290" s="8" t="s">
        <v>2055</v>
      </c>
      <c r="B290" s="9" t="s">
        <v>2056</v>
      </c>
      <c r="C290" s="10">
        <v>1.0461670000000001</v>
      </c>
    </row>
    <row r="291" spans="1:3">
      <c r="A291" s="8" t="s">
        <v>2057</v>
      </c>
      <c r="B291" s="9" t="s">
        <v>2058</v>
      </c>
      <c r="C291" s="10">
        <v>0.2803215</v>
      </c>
    </row>
    <row r="292" spans="1:3">
      <c r="A292" s="8" t="s">
        <v>2059</v>
      </c>
      <c r="B292" s="9" t="s">
        <v>2060</v>
      </c>
      <c r="C292" s="10">
        <v>1.126144</v>
      </c>
    </row>
    <row r="293" spans="1:3">
      <c r="A293" s="8" t="s">
        <v>2061</v>
      </c>
      <c r="B293" s="9" t="s">
        <v>715</v>
      </c>
      <c r="C293" s="10">
        <v>1.280753</v>
      </c>
    </row>
    <row r="294" spans="1:3">
      <c r="A294" s="8" t="s">
        <v>2062</v>
      </c>
      <c r="B294" s="9" t="s">
        <v>2063</v>
      </c>
      <c r="C294" s="10">
        <v>-5.0453400000000002E-2</v>
      </c>
    </row>
    <row r="295" spans="1:3">
      <c r="A295" s="8" t="s">
        <v>2064</v>
      </c>
      <c r="B295" s="9" t="s">
        <v>2065</v>
      </c>
      <c r="C295" s="10">
        <v>0.70861229999999997</v>
      </c>
    </row>
    <row r="296" spans="1:3">
      <c r="A296" s="8" t="s">
        <v>680</v>
      </c>
      <c r="B296" s="9" t="s">
        <v>2066</v>
      </c>
      <c r="C296" s="10">
        <v>0.1059147</v>
      </c>
    </row>
    <row r="297" spans="1:3">
      <c r="A297" s="8" t="s">
        <v>655</v>
      </c>
      <c r="B297" s="9" t="s">
        <v>654</v>
      </c>
      <c r="C297" s="10">
        <v>0.62791850000000005</v>
      </c>
    </row>
    <row r="298" spans="1:3">
      <c r="A298" s="8" t="s">
        <v>678</v>
      </c>
      <c r="B298" s="9" t="s">
        <v>2067</v>
      </c>
      <c r="C298" s="10">
        <v>0.1151615</v>
      </c>
    </row>
    <row r="299" spans="1:3">
      <c r="A299" s="8" t="s">
        <v>780</v>
      </c>
      <c r="B299" s="9" t="s">
        <v>2068</v>
      </c>
      <c r="C299" s="10">
        <v>-0.35819220000000002</v>
      </c>
    </row>
    <row r="300" spans="1:3">
      <c r="A300" s="8" t="s">
        <v>768</v>
      </c>
      <c r="B300" s="9" t="s">
        <v>2069</v>
      </c>
      <c r="C300" s="10">
        <v>-0.2189393</v>
      </c>
    </row>
    <row r="301" spans="1:3">
      <c r="A301" s="8" t="s">
        <v>669</v>
      </c>
      <c r="B301" s="9" t="s">
        <v>2070</v>
      </c>
      <c r="C301" s="10">
        <v>0.21901090000000001</v>
      </c>
    </row>
    <row r="302" spans="1:3">
      <c r="A302" s="8" t="s">
        <v>764</v>
      </c>
      <c r="B302" s="9" t="s">
        <v>2071</v>
      </c>
      <c r="C302" s="10">
        <v>-0.18805069999999999</v>
      </c>
    </row>
    <row r="303" spans="1:3">
      <c r="A303" s="8" t="s">
        <v>651</v>
      </c>
      <c r="B303" s="9" t="s">
        <v>2072</v>
      </c>
      <c r="C303" s="10">
        <v>1.1462669999999999</v>
      </c>
    </row>
    <row r="304" spans="1:3">
      <c r="A304" s="8" t="s">
        <v>750</v>
      </c>
      <c r="B304" s="9" t="s">
        <v>2073</v>
      </c>
      <c r="C304" s="10">
        <v>-3.31901E-2</v>
      </c>
    </row>
    <row r="305" spans="1:3">
      <c r="A305" s="8" t="s">
        <v>754</v>
      </c>
      <c r="B305" s="9" t="s">
        <v>753</v>
      </c>
      <c r="C305" s="10">
        <v>-7.4995800000000001E-2</v>
      </c>
    </row>
    <row r="306" spans="1:3">
      <c r="A306" s="8" t="s">
        <v>667</v>
      </c>
      <c r="B306" s="9" t="s">
        <v>2074</v>
      </c>
      <c r="C306" s="10">
        <v>0.22940969999999999</v>
      </c>
    </row>
    <row r="307" spans="1:3">
      <c r="A307" s="8" t="s">
        <v>663</v>
      </c>
      <c r="B307" s="9" t="s">
        <v>2075</v>
      </c>
      <c r="C307" s="10">
        <v>0.24131910000000001</v>
      </c>
    </row>
    <row r="308" spans="1:3">
      <c r="A308" s="8" t="s">
        <v>671</v>
      </c>
      <c r="B308" s="9" t="s">
        <v>2076</v>
      </c>
      <c r="C308" s="10">
        <v>0.19662650000000001</v>
      </c>
    </row>
    <row r="309" spans="1:3">
      <c r="A309" s="8" t="s">
        <v>673</v>
      </c>
      <c r="B309" s="9" t="s">
        <v>2077</v>
      </c>
      <c r="C309" s="10">
        <v>0.19005720000000001</v>
      </c>
    </row>
    <row r="310" spans="1:3">
      <c r="A310" s="8" t="s">
        <v>653</v>
      </c>
      <c r="B310" s="9" t="s">
        <v>652</v>
      </c>
      <c r="C310" s="10">
        <v>0.63290630000000003</v>
      </c>
    </row>
    <row r="311" spans="1:3">
      <c r="A311" s="8" t="s">
        <v>2078</v>
      </c>
      <c r="B311" s="9" t="s">
        <v>2079</v>
      </c>
      <c r="C311" s="10">
        <v>0.71095660000000005</v>
      </c>
    </row>
    <row r="312" spans="1:3">
      <c r="A312" s="8" t="s">
        <v>2080</v>
      </c>
      <c r="B312" s="9" t="s">
        <v>2081</v>
      </c>
      <c r="C312" s="10">
        <v>0.28180670000000002</v>
      </c>
    </row>
    <row r="313" spans="1:3">
      <c r="A313" s="8" t="s">
        <v>2082</v>
      </c>
      <c r="B313" s="9" t="s">
        <v>2083</v>
      </c>
      <c r="C313" s="10">
        <v>-0.12733149999999999</v>
      </c>
    </row>
    <row r="314" spans="1:3">
      <c r="A314" s="8" t="s">
        <v>2084</v>
      </c>
      <c r="B314" s="9" t="s">
        <v>2085</v>
      </c>
      <c r="C314" s="10">
        <v>-0.41650799999999999</v>
      </c>
    </row>
    <row r="315" spans="1:3">
      <c r="A315" s="8" t="s">
        <v>756</v>
      </c>
      <c r="B315" s="9" t="s">
        <v>2086</v>
      </c>
      <c r="C315" s="10">
        <v>-9.0952599999999995E-2</v>
      </c>
    </row>
    <row r="316" spans="1:3">
      <c r="A316" s="8" t="s">
        <v>774</v>
      </c>
      <c r="B316" s="9" t="s">
        <v>2087</v>
      </c>
      <c r="C316" s="10">
        <v>-0.26405400000000001</v>
      </c>
    </row>
    <row r="317" spans="1:3">
      <c r="A317" s="8" t="s">
        <v>684</v>
      </c>
      <c r="B317" s="9" t="s">
        <v>2088</v>
      </c>
      <c r="C317" s="10">
        <v>8.5527599999999995E-2</v>
      </c>
    </row>
    <row r="318" spans="1:3">
      <c r="A318" s="8" t="s">
        <v>788</v>
      </c>
      <c r="B318" s="9" t="s">
        <v>2089</v>
      </c>
      <c r="C318" s="10">
        <v>-0.5559037</v>
      </c>
    </row>
    <row r="319" spans="1:3">
      <c r="A319" s="8" t="s">
        <v>752</v>
      </c>
      <c r="B319" s="9" t="s">
        <v>2090</v>
      </c>
      <c r="C319" s="10">
        <v>-7.27627E-2</v>
      </c>
    </row>
    <row r="320" spans="1:3">
      <c r="A320" s="8" t="s">
        <v>2091</v>
      </c>
      <c r="B320" s="9" t="s">
        <v>2092</v>
      </c>
      <c r="C320" s="10">
        <v>-0.68634459999999997</v>
      </c>
    </row>
    <row r="321" spans="1:3">
      <c r="A321" s="8" t="s">
        <v>758</v>
      </c>
      <c r="B321" s="9" t="s">
        <v>2093</v>
      </c>
      <c r="C321" s="10">
        <v>-0.12602820000000001</v>
      </c>
    </row>
    <row r="322" spans="1:3">
      <c r="A322" s="8" t="s">
        <v>690</v>
      </c>
      <c r="B322" s="9" t="s">
        <v>2094</v>
      </c>
      <c r="C322" s="10">
        <v>7.0255999999999999E-3</v>
      </c>
    </row>
    <row r="323" spans="1:3">
      <c r="A323" s="8" t="s">
        <v>770</v>
      </c>
      <c r="B323" s="9" t="s">
        <v>2095</v>
      </c>
      <c r="C323" s="10">
        <v>-0.2203484</v>
      </c>
    </row>
    <row r="324" spans="1:3">
      <c r="A324" s="8" t="s">
        <v>2096</v>
      </c>
      <c r="B324" s="9" t="s">
        <v>2097</v>
      </c>
      <c r="C324" s="10">
        <v>-0.1060473</v>
      </c>
    </row>
    <row r="325" spans="1:3">
      <c r="A325" s="8" t="s">
        <v>784</v>
      </c>
      <c r="B325" s="9" t="s">
        <v>2098</v>
      </c>
      <c r="C325" s="10">
        <v>-0.48304760000000002</v>
      </c>
    </row>
    <row r="326" spans="1:3">
      <c r="A326" s="8" t="s">
        <v>782</v>
      </c>
      <c r="B326" s="9" t="s">
        <v>2099</v>
      </c>
      <c r="C326" s="10">
        <v>-0.36231790000000003</v>
      </c>
    </row>
    <row r="327" spans="1:3">
      <c r="A327" s="8" t="s">
        <v>686</v>
      </c>
      <c r="B327" s="9" t="s">
        <v>2100</v>
      </c>
      <c r="C327" s="10">
        <v>7.8733999999999998E-2</v>
      </c>
    </row>
    <row r="328" spans="1:3">
      <c r="A328" s="8" t="s">
        <v>786</v>
      </c>
      <c r="B328" s="9" t="s">
        <v>2101</v>
      </c>
      <c r="C328" s="10">
        <v>-0.51373729999999995</v>
      </c>
    </row>
    <row r="329" spans="1:3">
      <c r="A329" s="8" t="s">
        <v>2102</v>
      </c>
      <c r="B329" s="9" t="s">
        <v>2103</v>
      </c>
      <c r="C329" s="10">
        <v>0.57387650000000001</v>
      </c>
    </row>
    <row r="330" spans="1:3">
      <c r="A330" s="8" t="s">
        <v>682</v>
      </c>
      <c r="B330" s="9" t="s">
        <v>2104</v>
      </c>
      <c r="C330" s="10">
        <v>0.1013966</v>
      </c>
    </row>
    <row r="331" spans="1:3">
      <c r="A331" s="8" t="s">
        <v>688</v>
      </c>
      <c r="B331" s="9" t="s">
        <v>2105</v>
      </c>
      <c r="C331" s="10">
        <v>6.6576999999999997E-2</v>
      </c>
    </row>
    <row r="332" spans="1:3">
      <c r="A332" s="8" t="s">
        <v>659</v>
      </c>
      <c r="B332" s="9" t="s">
        <v>2106</v>
      </c>
      <c r="C332" s="10">
        <v>0.56489529999999999</v>
      </c>
    </row>
    <row r="333" spans="1:3">
      <c r="A333" s="8" t="s">
        <v>776</v>
      </c>
      <c r="B333" s="9" t="s">
        <v>2107</v>
      </c>
      <c r="C333" s="10">
        <v>-0.283854</v>
      </c>
    </row>
    <row r="334" spans="1:3">
      <c r="A334" s="8" t="s">
        <v>2108</v>
      </c>
      <c r="B334" s="9" t="s">
        <v>2109</v>
      </c>
      <c r="C334" s="10">
        <v>0.83493709999999999</v>
      </c>
    </row>
    <row r="335" spans="1:3">
      <c r="A335" s="8" t="s">
        <v>2110</v>
      </c>
      <c r="B335" s="9" t="s">
        <v>2111</v>
      </c>
      <c r="C335" s="10">
        <v>0.3996866</v>
      </c>
    </row>
    <row r="336" spans="1:3">
      <c r="A336" s="8" t="s">
        <v>778</v>
      </c>
      <c r="B336" s="9" t="s">
        <v>2112</v>
      </c>
      <c r="C336" s="10">
        <v>-0.33113629999999999</v>
      </c>
    </row>
    <row r="337" spans="1:3">
      <c r="A337" s="8" t="s">
        <v>646</v>
      </c>
      <c r="B337" s="9" t="s">
        <v>2113</v>
      </c>
      <c r="C337" s="10">
        <v>1.5276670000000001</v>
      </c>
    </row>
    <row r="338" spans="1:3">
      <c r="A338" s="8" t="s">
        <v>665</v>
      </c>
      <c r="B338" s="9" t="s">
        <v>2114</v>
      </c>
      <c r="C338" s="10">
        <v>0.22955680000000001</v>
      </c>
    </row>
    <row r="339" spans="1:3">
      <c r="A339" s="8" t="s">
        <v>2115</v>
      </c>
      <c r="B339" s="9" t="s">
        <v>2116</v>
      </c>
      <c r="C339" s="10">
        <v>-0.64494200000000002</v>
      </c>
    </row>
    <row r="340" spans="1:3">
      <c r="A340" s="8" t="s">
        <v>2117</v>
      </c>
      <c r="B340" s="9" t="s">
        <v>2118</v>
      </c>
      <c r="C340" s="10">
        <v>-0.49656499999999998</v>
      </c>
    </row>
    <row r="341" spans="1:3">
      <c r="A341" s="8" t="s">
        <v>2119</v>
      </c>
      <c r="B341" s="9" t="s">
        <v>2120</v>
      </c>
      <c r="C341" s="10">
        <v>-0.90402119999999997</v>
      </c>
    </row>
    <row r="342" spans="1:3">
      <c r="A342" s="8" t="s">
        <v>2121</v>
      </c>
      <c r="B342" s="9" t="s">
        <v>800</v>
      </c>
      <c r="C342" s="10">
        <v>-1.6792320000000001</v>
      </c>
    </row>
    <row r="343" spans="1:3">
      <c r="A343" s="8" t="s">
        <v>809</v>
      </c>
      <c r="B343" s="9" t="s">
        <v>2122</v>
      </c>
      <c r="C343" s="10">
        <v>-0.3153762</v>
      </c>
    </row>
    <row r="344" spans="1:3">
      <c r="A344" s="8" t="s">
        <v>817</v>
      </c>
      <c r="B344" s="9" t="s">
        <v>2123</v>
      </c>
      <c r="C344" s="10">
        <v>-0.77343220000000001</v>
      </c>
    </row>
    <row r="345" spans="1:3">
      <c r="A345" s="8" t="s">
        <v>813</v>
      </c>
      <c r="B345" s="9" t="s">
        <v>2124</v>
      </c>
      <c r="C345" s="10">
        <v>-0.53085349999999998</v>
      </c>
    </row>
    <row r="346" spans="1:3">
      <c r="A346" s="8" t="s">
        <v>821</v>
      </c>
      <c r="B346" s="9" t="s">
        <v>2125</v>
      </c>
      <c r="C346" s="10">
        <v>-0.88232650000000001</v>
      </c>
    </row>
    <row r="347" spans="1:3">
      <c r="A347" s="8" t="s">
        <v>823</v>
      </c>
      <c r="B347" s="9" t="s">
        <v>2126</v>
      </c>
      <c r="C347" s="10">
        <v>-1.4102330000000001</v>
      </c>
    </row>
    <row r="348" spans="1:3">
      <c r="A348" s="8" t="s">
        <v>811</v>
      </c>
      <c r="B348" s="9" t="s">
        <v>2127</v>
      </c>
      <c r="C348" s="10">
        <v>-0.52687589999999995</v>
      </c>
    </row>
    <row r="349" spans="1:3">
      <c r="A349" s="8" t="s">
        <v>795</v>
      </c>
      <c r="B349" s="9" t="s">
        <v>2128</v>
      </c>
      <c r="C349" s="10">
        <v>0.1497917</v>
      </c>
    </row>
    <row r="350" spans="1:3">
      <c r="A350" s="8" t="s">
        <v>815</v>
      </c>
      <c r="B350" s="9" t="s">
        <v>2129</v>
      </c>
      <c r="C350" s="10">
        <v>-0.73086479999999998</v>
      </c>
    </row>
    <row r="351" spans="1:3">
      <c r="A351" s="8" t="s">
        <v>790</v>
      </c>
      <c r="B351" s="9" t="s">
        <v>2130</v>
      </c>
      <c r="C351" s="10">
        <v>1.0625899999999999</v>
      </c>
    </row>
    <row r="352" spans="1:3">
      <c r="A352" s="8" t="s">
        <v>805</v>
      </c>
      <c r="B352" s="9" t="s">
        <v>2131</v>
      </c>
      <c r="C352" s="10">
        <v>-0.1552654</v>
      </c>
    </row>
    <row r="353" spans="1:3">
      <c r="A353" s="8" t="s">
        <v>819</v>
      </c>
      <c r="B353" s="9" t="s">
        <v>2132</v>
      </c>
      <c r="C353" s="10">
        <v>-0.7735824</v>
      </c>
    </row>
    <row r="354" spans="1:3">
      <c r="A354" s="8" t="s">
        <v>807</v>
      </c>
      <c r="B354" s="9" t="s">
        <v>806</v>
      </c>
      <c r="C354" s="10">
        <v>-0.27784750000000003</v>
      </c>
    </row>
    <row r="355" spans="1:3">
      <c r="A355" s="8" t="s">
        <v>793</v>
      </c>
      <c r="B355" s="9" t="s">
        <v>2133</v>
      </c>
      <c r="C355" s="10">
        <v>0.16600770000000001</v>
      </c>
    </row>
    <row r="356" spans="1:3">
      <c r="A356" s="8" t="s">
        <v>856</v>
      </c>
      <c r="B356" s="9" t="s">
        <v>2134</v>
      </c>
      <c r="C356" s="10">
        <v>-0.55842780000000003</v>
      </c>
    </row>
    <row r="357" spans="1:3">
      <c r="A357" s="8" t="s">
        <v>842</v>
      </c>
      <c r="B357" s="9" t="s">
        <v>2135</v>
      </c>
      <c r="C357" s="10">
        <v>-0.1923298</v>
      </c>
    </row>
    <row r="358" spans="1:3">
      <c r="A358" s="8" t="s">
        <v>860</v>
      </c>
      <c r="B358" s="9" t="s">
        <v>2136</v>
      </c>
      <c r="C358" s="10">
        <v>-0.59302100000000002</v>
      </c>
    </row>
    <row r="359" spans="1:3">
      <c r="A359" s="8" t="s">
        <v>872</v>
      </c>
      <c r="B359" s="9" t="s">
        <v>2137</v>
      </c>
      <c r="C359" s="10">
        <v>-1.3202320000000001</v>
      </c>
    </row>
    <row r="360" spans="1:3">
      <c r="A360" s="8" t="s">
        <v>834</v>
      </c>
      <c r="B360" s="9" t="s">
        <v>2138</v>
      </c>
      <c r="C360" s="10">
        <v>6.2793000000000002E-2</v>
      </c>
    </row>
    <row r="361" spans="1:3">
      <c r="A361" s="8" t="s">
        <v>844</v>
      </c>
      <c r="B361" s="9" t="s">
        <v>2139</v>
      </c>
      <c r="C361" s="10">
        <v>-0.21441270000000001</v>
      </c>
    </row>
    <row r="362" spans="1:3">
      <c r="A362" s="8" t="s">
        <v>854</v>
      </c>
      <c r="B362" s="9" t="s">
        <v>853</v>
      </c>
      <c r="C362" s="10">
        <v>-0.5103183</v>
      </c>
    </row>
    <row r="363" spans="1:3">
      <c r="A363" s="8" t="s">
        <v>870</v>
      </c>
      <c r="B363" s="9" t="s">
        <v>2140</v>
      </c>
      <c r="C363" s="10">
        <v>-0.88753649999999995</v>
      </c>
    </row>
    <row r="364" spans="1:3">
      <c r="A364" s="8" t="s">
        <v>830</v>
      </c>
      <c r="B364" s="9" t="s">
        <v>2141</v>
      </c>
      <c r="C364" s="10">
        <v>0.22576959999999999</v>
      </c>
    </row>
    <row r="365" spans="1:3">
      <c r="A365" s="8" t="s">
        <v>848</v>
      </c>
      <c r="B365" s="9" t="s">
        <v>2142</v>
      </c>
      <c r="C365" s="10">
        <v>-0.4585168</v>
      </c>
    </row>
    <row r="366" spans="1:3">
      <c r="A366" s="8" t="s">
        <v>864</v>
      </c>
      <c r="B366" s="9" t="s">
        <v>2143</v>
      </c>
      <c r="C366" s="10">
        <v>-0.62399309999999997</v>
      </c>
    </row>
    <row r="367" spans="1:3">
      <c r="A367" s="8" t="s">
        <v>866</v>
      </c>
      <c r="B367" s="9" t="s">
        <v>2144</v>
      </c>
      <c r="C367" s="10">
        <v>-0.66811229999999999</v>
      </c>
    </row>
    <row r="368" spans="1:3">
      <c r="A368" s="8" t="s">
        <v>868</v>
      </c>
      <c r="B368" s="9" t="s">
        <v>2145</v>
      </c>
      <c r="C368" s="10">
        <v>-0.82055149999999999</v>
      </c>
    </row>
    <row r="369" spans="1:3">
      <c r="A369" s="8" t="s">
        <v>862</v>
      </c>
      <c r="B369" s="9" t="s">
        <v>2146</v>
      </c>
      <c r="C369" s="10">
        <v>-0.5946321</v>
      </c>
    </row>
    <row r="370" spans="1:3">
      <c r="A370" s="8" t="s">
        <v>825</v>
      </c>
      <c r="B370" s="9" t="s">
        <v>2147</v>
      </c>
      <c r="C370" s="10">
        <v>0.74831080000000005</v>
      </c>
    </row>
    <row r="371" spans="1:3">
      <c r="A371" s="8" t="s">
        <v>828</v>
      </c>
      <c r="B371" s="9" t="s">
        <v>2148</v>
      </c>
      <c r="C371" s="10">
        <v>0.72839330000000002</v>
      </c>
    </row>
    <row r="372" spans="1:3">
      <c r="A372" s="8" t="s">
        <v>846</v>
      </c>
      <c r="B372" s="9" t="s">
        <v>2149</v>
      </c>
      <c r="C372" s="10">
        <v>-0.39084210000000003</v>
      </c>
    </row>
    <row r="373" spans="1:3">
      <c r="A373" s="8" t="s">
        <v>858</v>
      </c>
      <c r="B373" s="9" t="s">
        <v>2150</v>
      </c>
      <c r="C373" s="10">
        <v>-0.56995110000000004</v>
      </c>
    </row>
    <row r="374" spans="1:3">
      <c r="A374" s="8" t="s">
        <v>850</v>
      </c>
      <c r="B374" s="9" t="s">
        <v>2151</v>
      </c>
      <c r="C374" s="10">
        <v>-0.47183849999999999</v>
      </c>
    </row>
    <row r="375" spans="1:3">
      <c r="A375" s="8" t="s">
        <v>852</v>
      </c>
      <c r="B375" s="9" t="s">
        <v>2152</v>
      </c>
      <c r="C375" s="10">
        <v>-0.50685579999999997</v>
      </c>
    </row>
    <row r="376" spans="1:3">
      <c r="A376" s="8" t="s">
        <v>832</v>
      </c>
      <c r="B376" s="9" t="s">
        <v>2153</v>
      </c>
      <c r="C376" s="10">
        <v>7.6408799999999999E-2</v>
      </c>
    </row>
    <row r="377" spans="1:3">
      <c r="A377" s="8" t="s">
        <v>885</v>
      </c>
      <c r="B377" s="9" t="s">
        <v>2154</v>
      </c>
      <c r="C377" s="10">
        <v>-0.26764329999999997</v>
      </c>
    </row>
    <row r="378" spans="1:3">
      <c r="A378" s="8" t="s">
        <v>883</v>
      </c>
      <c r="B378" s="9" t="s">
        <v>2155</v>
      </c>
      <c r="C378" s="10">
        <v>-0.25754919999999998</v>
      </c>
    </row>
    <row r="379" spans="1:3">
      <c r="A379" s="8" t="s">
        <v>893</v>
      </c>
      <c r="B379" s="9" t="s">
        <v>2156</v>
      </c>
      <c r="C379" s="10">
        <v>-0.71318369999999998</v>
      </c>
    </row>
    <row r="380" spans="1:3">
      <c r="A380" s="8" t="s">
        <v>891</v>
      </c>
      <c r="B380" s="9" t="s">
        <v>2157</v>
      </c>
      <c r="C380" s="10">
        <v>-0.63608129999999996</v>
      </c>
    </row>
    <row r="381" spans="1:3">
      <c r="A381" s="8" t="s">
        <v>899</v>
      </c>
      <c r="B381" s="9" t="s">
        <v>2158</v>
      </c>
      <c r="C381" s="10">
        <v>-0.78674440000000001</v>
      </c>
    </row>
    <row r="382" spans="1:3">
      <c r="A382" s="8" t="s">
        <v>897</v>
      </c>
      <c r="B382" s="9" t="s">
        <v>2159</v>
      </c>
      <c r="C382" s="10">
        <v>-0.7418264</v>
      </c>
    </row>
    <row r="383" spans="1:3">
      <c r="A383" s="8" t="s">
        <v>887</v>
      </c>
      <c r="B383" s="9" t="s">
        <v>2160</v>
      </c>
      <c r="C383" s="10">
        <v>-0.59338170000000001</v>
      </c>
    </row>
    <row r="384" spans="1:3">
      <c r="A384" s="8" t="s">
        <v>903</v>
      </c>
      <c r="B384" s="9" t="s">
        <v>2161</v>
      </c>
      <c r="C384" s="10">
        <v>-1.226416</v>
      </c>
    </row>
    <row r="385" spans="1:3">
      <c r="A385" s="8" t="s">
        <v>889</v>
      </c>
      <c r="B385" s="9" t="s">
        <v>888</v>
      </c>
      <c r="C385" s="10">
        <v>-0.61598830000000004</v>
      </c>
    </row>
    <row r="386" spans="1:3">
      <c r="A386" s="8" t="s">
        <v>2162</v>
      </c>
      <c r="B386" s="9" t="s">
        <v>2163</v>
      </c>
      <c r="C386" s="10">
        <v>-0.53052659999999996</v>
      </c>
    </row>
    <row r="387" spans="1:3">
      <c r="A387" s="8" t="s">
        <v>2164</v>
      </c>
      <c r="B387" s="9" t="s">
        <v>2165</v>
      </c>
      <c r="C387" s="10">
        <v>-0.48509560000000002</v>
      </c>
    </row>
    <row r="388" spans="1:3">
      <c r="A388" s="8" t="s">
        <v>901</v>
      </c>
      <c r="B388" s="9" t="s">
        <v>2166</v>
      </c>
      <c r="C388" s="10">
        <v>-0.94810030000000001</v>
      </c>
    </row>
    <row r="389" spans="1:3">
      <c r="A389" s="8" t="s">
        <v>895</v>
      </c>
      <c r="B389" s="9" t="s">
        <v>2167</v>
      </c>
      <c r="C389" s="10">
        <v>-0.72702060000000002</v>
      </c>
    </row>
    <row r="390" spans="1:3">
      <c r="A390" s="8" t="s">
        <v>907</v>
      </c>
      <c r="B390" s="9" t="s">
        <v>2168</v>
      </c>
      <c r="C390" s="10">
        <v>-1.9270780000000001</v>
      </c>
    </row>
    <row r="391" spans="1:3">
      <c r="A391" s="8" t="s">
        <v>905</v>
      </c>
      <c r="B391" s="9" t="s">
        <v>904</v>
      </c>
      <c r="C391" s="10">
        <v>-1.738612</v>
      </c>
    </row>
    <row r="392" spans="1:3">
      <c r="A392" s="8" t="s">
        <v>881</v>
      </c>
      <c r="B392" s="9" t="s">
        <v>2169</v>
      </c>
      <c r="C392" s="10">
        <v>-5.6547699999999999E-2</v>
      </c>
    </row>
    <row r="393" spans="1:3">
      <c r="A393" s="8" t="s">
        <v>916</v>
      </c>
      <c r="B393" s="9" t="s">
        <v>2170</v>
      </c>
      <c r="C393" s="10">
        <v>-0.58541279999999996</v>
      </c>
    </row>
    <row r="394" spans="1:3">
      <c r="A394" s="8" t="s">
        <v>914</v>
      </c>
      <c r="B394" s="9" t="s">
        <v>2171</v>
      </c>
      <c r="C394" s="10">
        <v>-0.55488709999999997</v>
      </c>
    </row>
    <row r="395" spans="1:3">
      <c r="A395" s="8" t="s">
        <v>922</v>
      </c>
      <c r="B395" s="9" t="s">
        <v>2172</v>
      </c>
      <c r="C395" s="10">
        <v>-1.4362010000000001</v>
      </c>
    </row>
    <row r="396" spans="1:3">
      <c r="A396" s="8" t="s">
        <v>924</v>
      </c>
      <c r="B396" s="9" t="s">
        <v>2173</v>
      </c>
      <c r="C396" s="10">
        <v>-1.4806569999999999</v>
      </c>
    </row>
    <row r="397" spans="1:3">
      <c r="A397" s="8" t="s">
        <v>918</v>
      </c>
      <c r="B397" s="9" t="s">
        <v>2174</v>
      </c>
      <c r="C397" s="10">
        <v>-0.7255374</v>
      </c>
    </row>
    <row r="398" spans="1:3">
      <c r="A398" s="8" t="s">
        <v>928</v>
      </c>
      <c r="B398" s="9" t="s">
        <v>2175</v>
      </c>
      <c r="C398" s="10">
        <v>-1.8242929999999999</v>
      </c>
    </row>
    <row r="399" spans="1:3">
      <c r="A399" s="8" t="s">
        <v>920</v>
      </c>
      <c r="B399" s="9" t="s">
        <v>2176</v>
      </c>
      <c r="C399" s="10">
        <v>-0.88479350000000001</v>
      </c>
    </row>
    <row r="400" spans="1:3">
      <c r="A400" s="8" t="s">
        <v>926</v>
      </c>
      <c r="B400" s="9" t="s">
        <v>2177</v>
      </c>
      <c r="C400" s="10">
        <v>-1.7270350000000001</v>
      </c>
    </row>
    <row r="401" spans="1:3">
      <c r="A401" s="8" t="s">
        <v>2178</v>
      </c>
      <c r="B401" s="9" t="s">
        <v>2179</v>
      </c>
      <c r="C401" s="10">
        <v>1.1282030000000001</v>
      </c>
    </row>
    <row r="402" spans="1:3">
      <c r="A402" s="8" t="s">
        <v>2180</v>
      </c>
      <c r="B402" s="9" t="s">
        <v>2181</v>
      </c>
      <c r="C402" s="10">
        <v>-0.1370162</v>
      </c>
    </row>
    <row r="403" spans="1:3">
      <c r="A403" s="8" t="s">
        <v>2182</v>
      </c>
      <c r="B403" s="9" t="s">
        <v>2183</v>
      </c>
      <c r="C403" s="10">
        <v>0.43030750000000001</v>
      </c>
    </row>
    <row r="404" spans="1:3">
      <c r="A404" s="8" t="s">
        <v>989</v>
      </c>
      <c r="B404" s="9" t="s">
        <v>2184</v>
      </c>
      <c r="C404" s="10">
        <v>-0.91677589999999998</v>
      </c>
    </row>
    <row r="405" spans="1:3">
      <c r="A405" s="8" t="s">
        <v>985</v>
      </c>
      <c r="B405" s="9" t="s">
        <v>2185</v>
      </c>
      <c r="C405" s="10">
        <v>-0.88904079999999996</v>
      </c>
    </row>
    <row r="406" spans="1:3">
      <c r="A406" s="8" t="s">
        <v>937</v>
      </c>
      <c r="B406" s="9" t="s">
        <v>2186</v>
      </c>
      <c r="C406" s="10">
        <v>6.0583199999999997E-2</v>
      </c>
    </row>
    <row r="407" spans="1:3">
      <c r="A407" s="8" t="s">
        <v>935</v>
      </c>
      <c r="B407" s="9" t="s">
        <v>2187</v>
      </c>
      <c r="C407" s="10">
        <v>0.4652752</v>
      </c>
    </row>
    <row r="408" spans="1:3">
      <c r="A408" s="8" t="s">
        <v>967</v>
      </c>
      <c r="B408" s="9" t="s">
        <v>2188</v>
      </c>
      <c r="C408" s="10">
        <v>-0.37865979999999999</v>
      </c>
    </row>
    <row r="409" spans="1:3">
      <c r="A409" s="8" t="s">
        <v>959</v>
      </c>
      <c r="B409" s="9" t="s">
        <v>2189</v>
      </c>
      <c r="C409" s="10">
        <v>-0.2420959</v>
      </c>
    </row>
    <row r="410" spans="1:3">
      <c r="A410" s="8" t="s">
        <v>975</v>
      </c>
      <c r="B410" s="9" t="s">
        <v>2190</v>
      </c>
      <c r="C410" s="10">
        <v>-0.52461530000000001</v>
      </c>
    </row>
    <row r="411" spans="1:3">
      <c r="A411" s="8" t="s">
        <v>971</v>
      </c>
      <c r="B411" s="9" t="s">
        <v>2191</v>
      </c>
      <c r="C411" s="10">
        <v>-0.45336080000000001</v>
      </c>
    </row>
    <row r="412" spans="1:3">
      <c r="A412" s="8" t="s">
        <v>965</v>
      </c>
      <c r="B412" s="9" t="s">
        <v>2192</v>
      </c>
      <c r="C412" s="10">
        <v>-0.34543760000000001</v>
      </c>
    </row>
    <row r="413" spans="1:3">
      <c r="A413" s="8" t="s">
        <v>983</v>
      </c>
      <c r="B413" s="9" t="s">
        <v>982</v>
      </c>
      <c r="C413" s="10">
        <v>-0.73114509999999999</v>
      </c>
    </row>
    <row r="414" spans="1:3">
      <c r="A414" s="8" t="s">
        <v>977</v>
      </c>
      <c r="B414" s="9" t="s">
        <v>2193</v>
      </c>
      <c r="C414" s="10">
        <v>-0.54454119999999995</v>
      </c>
    </row>
    <row r="415" spans="1:3">
      <c r="A415" s="8" t="s">
        <v>957</v>
      </c>
      <c r="B415" s="9" t="s">
        <v>2194</v>
      </c>
      <c r="C415" s="10">
        <v>-0.19037589999999999</v>
      </c>
    </row>
    <row r="416" spans="1:3">
      <c r="A416" s="8" t="s">
        <v>981</v>
      </c>
      <c r="B416" s="9" t="s">
        <v>980</v>
      </c>
      <c r="C416" s="10">
        <v>-0.7294621</v>
      </c>
    </row>
    <row r="417" spans="1:3">
      <c r="A417" s="8" t="s">
        <v>979</v>
      </c>
      <c r="B417" s="9" t="s">
        <v>2195</v>
      </c>
      <c r="C417" s="10">
        <v>-0.68245169999999999</v>
      </c>
    </row>
    <row r="418" spans="1:3">
      <c r="A418" s="8" t="s">
        <v>973</v>
      </c>
      <c r="B418" s="9" t="s">
        <v>2196</v>
      </c>
      <c r="C418" s="10">
        <v>-0.45961380000000002</v>
      </c>
    </row>
    <row r="419" spans="1:3">
      <c r="A419" s="8" t="s">
        <v>939</v>
      </c>
      <c r="B419" s="9" t="s">
        <v>2197</v>
      </c>
      <c r="C419" s="10">
        <v>3.3512399999999998E-2</v>
      </c>
    </row>
    <row r="420" spans="1:3">
      <c r="A420" s="8" t="s">
        <v>987</v>
      </c>
      <c r="B420" s="9" t="s">
        <v>986</v>
      </c>
      <c r="C420" s="10">
        <v>-0.90537100000000004</v>
      </c>
    </row>
    <row r="421" spans="1:3">
      <c r="A421" s="8" t="s">
        <v>963</v>
      </c>
      <c r="B421" s="9" t="s">
        <v>2198</v>
      </c>
      <c r="C421" s="10">
        <v>-0.26283960000000001</v>
      </c>
    </row>
    <row r="422" spans="1:3">
      <c r="A422" s="8" t="s">
        <v>991</v>
      </c>
      <c r="B422" s="9" t="s">
        <v>2199</v>
      </c>
      <c r="C422" s="10">
        <v>-1.2720149999999999</v>
      </c>
    </row>
    <row r="423" spans="1:3">
      <c r="A423" s="8" t="s">
        <v>930</v>
      </c>
      <c r="B423" s="9" t="s">
        <v>929</v>
      </c>
      <c r="C423" s="10">
        <v>0.85583200000000004</v>
      </c>
    </row>
    <row r="424" spans="1:3">
      <c r="A424" s="8" t="s">
        <v>2200</v>
      </c>
      <c r="B424" s="9" t="s">
        <v>2201</v>
      </c>
      <c r="C424" s="10">
        <v>0.35709600000000002</v>
      </c>
    </row>
    <row r="425" spans="1:3">
      <c r="A425" s="8" t="s">
        <v>2202</v>
      </c>
      <c r="B425" s="9" t="s">
        <v>2203</v>
      </c>
      <c r="C425" s="10">
        <v>0.60838289999999995</v>
      </c>
    </row>
    <row r="426" spans="1:3">
      <c r="A426" s="8" t="s">
        <v>969</v>
      </c>
      <c r="B426" s="9" t="s">
        <v>2204</v>
      </c>
      <c r="C426" s="10">
        <v>-0.38347940000000003</v>
      </c>
    </row>
    <row r="427" spans="1:3">
      <c r="A427" s="8" t="s">
        <v>2205</v>
      </c>
      <c r="B427" s="9" t="s">
        <v>2206</v>
      </c>
      <c r="C427" s="10">
        <v>-0.57377739999999999</v>
      </c>
    </row>
    <row r="428" spans="1:3">
      <c r="A428" s="8" t="s">
        <v>993</v>
      </c>
      <c r="B428" s="9" t="s">
        <v>2207</v>
      </c>
      <c r="C428" s="10">
        <v>-2.1119479999999999</v>
      </c>
    </row>
    <row r="429" spans="1:3">
      <c r="A429" s="8" t="s">
        <v>961</v>
      </c>
      <c r="B429" s="9" t="s">
        <v>2208</v>
      </c>
      <c r="C429" s="10">
        <v>-0.24411540000000001</v>
      </c>
    </row>
    <row r="430" spans="1:3">
      <c r="A430" s="8" t="s">
        <v>933</v>
      </c>
      <c r="B430" s="9" t="s">
        <v>2209</v>
      </c>
      <c r="C430" s="10">
        <v>0.47461189999999998</v>
      </c>
    </row>
    <row r="431" spans="1:3">
      <c r="A431" s="8" t="s">
        <v>1026</v>
      </c>
      <c r="B431" s="9" t="s">
        <v>2210</v>
      </c>
      <c r="C431" s="10">
        <v>1.9182600000000001E-2</v>
      </c>
    </row>
    <row r="432" spans="1:3">
      <c r="A432" s="8" t="s">
        <v>998</v>
      </c>
      <c r="B432" s="9" t="s">
        <v>2211</v>
      </c>
      <c r="C432" s="10">
        <v>1.316195</v>
      </c>
    </row>
    <row r="433" spans="1:3">
      <c r="A433" s="8" t="s">
        <v>1036</v>
      </c>
      <c r="B433" s="9" t="s">
        <v>1035</v>
      </c>
      <c r="C433" s="10">
        <v>-0.2480887</v>
      </c>
    </row>
    <row r="434" spans="1:3">
      <c r="A434" s="8" t="s">
        <v>1032</v>
      </c>
      <c r="B434" s="9" t="s">
        <v>2212</v>
      </c>
      <c r="C434" s="10">
        <v>-5.0092600000000001E-2</v>
      </c>
    </row>
    <row r="435" spans="1:3">
      <c r="A435" s="8" t="s">
        <v>1024</v>
      </c>
      <c r="B435" s="9" t="s">
        <v>2213</v>
      </c>
      <c r="C435" s="10">
        <v>7.8436699999999998E-2</v>
      </c>
    </row>
    <row r="436" spans="1:3">
      <c r="A436" s="8" t="s">
        <v>1034</v>
      </c>
      <c r="B436" s="9" t="s">
        <v>2214</v>
      </c>
      <c r="C436" s="10">
        <v>-0.1184909</v>
      </c>
    </row>
    <row r="437" spans="1:3">
      <c r="A437" s="8" t="s">
        <v>1022</v>
      </c>
      <c r="B437" s="9" t="s">
        <v>2215</v>
      </c>
      <c r="C437" s="10">
        <v>8.7306900000000007E-2</v>
      </c>
    </row>
    <row r="438" spans="1:3">
      <c r="A438" s="8" t="s">
        <v>1002</v>
      </c>
      <c r="B438" s="9" t="s">
        <v>2216</v>
      </c>
      <c r="C438" s="10">
        <v>1.162588</v>
      </c>
    </row>
    <row r="439" spans="1:3">
      <c r="A439" s="8" t="s">
        <v>995</v>
      </c>
      <c r="B439" s="9" t="s">
        <v>2217</v>
      </c>
      <c r="C439" s="10">
        <v>1.3412580000000001</v>
      </c>
    </row>
    <row r="440" spans="1:3">
      <c r="A440" s="8" t="s">
        <v>1000</v>
      </c>
      <c r="B440" s="9" t="s">
        <v>2218</v>
      </c>
      <c r="C440" s="10">
        <v>1.2562979999999999</v>
      </c>
    </row>
    <row r="441" spans="1:3">
      <c r="A441" s="8" t="s">
        <v>1008</v>
      </c>
      <c r="B441" s="9" t="s">
        <v>2219</v>
      </c>
      <c r="C441" s="10">
        <v>1.1335980000000001</v>
      </c>
    </row>
    <row r="442" spans="1:3">
      <c r="A442" s="8" t="s">
        <v>2220</v>
      </c>
      <c r="B442" s="9" t="s">
        <v>2221</v>
      </c>
      <c r="C442" s="10">
        <v>1.3026740000000001</v>
      </c>
    </row>
    <row r="443" spans="1:3">
      <c r="A443" s="8" t="s">
        <v>1014</v>
      </c>
      <c r="B443" s="9" t="s">
        <v>2222</v>
      </c>
      <c r="C443" s="10">
        <v>0.8911985</v>
      </c>
    </row>
    <row r="444" spans="1:3">
      <c r="A444" s="8" t="s">
        <v>1018</v>
      </c>
      <c r="B444" s="9" t="s">
        <v>2223</v>
      </c>
      <c r="C444" s="10">
        <v>0.82246810000000004</v>
      </c>
    </row>
    <row r="445" spans="1:3">
      <c r="A445" s="8" t="s">
        <v>1020</v>
      </c>
      <c r="B445" s="9" t="s">
        <v>2224</v>
      </c>
      <c r="C445" s="10">
        <v>0.1235652</v>
      </c>
    </row>
    <row r="446" spans="1:3">
      <c r="A446" s="8" t="s">
        <v>1038</v>
      </c>
      <c r="B446" s="9" t="s">
        <v>1037</v>
      </c>
      <c r="C446" s="10">
        <v>-1.1220209999999999</v>
      </c>
    </row>
    <row r="447" spans="1:3">
      <c r="A447" s="8" t="s">
        <v>1004</v>
      </c>
      <c r="B447" s="9" t="s">
        <v>2225</v>
      </c>
      <c r="C447" s="10">
        <v>1.149681</v>
      </c>
    </row>
    <row r="448" spans="1:3">
      <c r="A448" s="8" t="s">
        <v>1016</v>
      </c>
      <c r="B448" s="9" t="s">
        <v>2226</v>
      </c>
      <c r="C448" s="10">
        <v>0.86494450000000001</v>
      </c>
    </row>
    <row r="449" spans="1:3">
      <c r="A449" s="8" t="s">
        <v>1006</v>
      </c>
      <c r="B449" s="9" t="s">
        <v>2227</v>
      </c>
      <c r="C449" s="10">
        <v>1.145416</v>
      </c>
    </row>
    <row r="450" spans="1:3">
      <c r="A450" s="8" t="s">
        <v>1010</v>
      </c>
      <c r="B450" s="9" t="s">
        <v>1009</v>
      </c>
      <c r="C450" s="10">
        <v>1.1181289999999999</v>
      </c>
    </row>
    <row r="451" spans="1:3">
      <c r="A451" s="8" t="s">
        <v>1012</v>
      </c>
      <c r="B451" s="9" t="s">
        <v>2228</v>
      </c>
      <c r="C451" s="10">
        <v>1.1071009999999999</v>
      </c>
    </row>
    <row r="452" spans="1:3">
      <c r="A452" s="8" t="s">
        <v>1085</v>
      </c>
      <c r="B452" s="9" t="s">
        <v>2229</v>
      </c>
      <c r="C452" s="10">
        <v>1.0386880000000001</v>
      </c>
    </row>
    <row r="453" spans="1:3">
      <c r="A453" s="8" t="s">
        <v>1095</v>
      </c>
      <c r="B453" s="9" t="s">
        <v>2230</v>
      </c>
      <c r="C453" s="10">
        <v>0.98326440000000004</v>
      </c>
    </row>
    <row r="454" spans="1:3">
      <c r="A454" s="8" t="s">
        <v>1087</v>
      </c>
      <c r="B454" s="9" t="s">
        <v>2231</v>
      </c>
      <c r="C454" s="10">
        <v>1.019712</v>
      </c>
    </row>
    <row r="455" spans="1:3">
      <c r="A455" s="8" t="s">
        <v>1059</v>
      </c>
      <c r="B455" s="9" t="s">
        <v>2232</v>
      </c>
      <c r="C455" s="10">
        <v>1.2719910000000001</v>
      </c>
    </row>
    <row r="456" spans="1:3">
      <c r="A456" s="8" t="s">
        <v>1053</v>
      </c>
      <c r="B456" s="9" t="s">
        <v>2233</v>
      </c>
      <c r="C456" s="10">
        <v>1.3334550000000001</v>
      </c>
    </row>
    <row r="457" spans="1:3">
      <c r="A457" s="8" t="s">
        <v>1083</v>
      </c>
      <c r="B457" s="9" t="s">
        <v>2234</v>
      </c>
      <c r="C457" s="10">
        <v>1.039749</v>
      </c>
    </row>
    <row r="458" spans="1:3">
      <c r="A458" s="8" t="s">
        <v>1111</v>
      </c>
      <c r="B458" s="9" t="s">
        <v>2235</v>
      </c>
      <c r="C458" s="10">
        <v>0.4026518</v>
      </c>
    </row>
    <row r="459" spans="1:3">
      <c r="A459" s="8" t="s">
        <v>1061</v>
      </c>
      <c r="B459" s="9" t="s">
        <v>2236</v>
      </c>
      <c r="C459" s="10">
        <v>1.2576320000000001</v>
      </c>
    </row>
    <row r="460" spans="1:3">
      <c r="A460" s="8" t="s">
        <v>1040</v>
      </c>
      <c r="B460" s="9" t="s">
        <v>2237</v>
      </c>
      <c r="C460" s="10">
        <v>1.487838</v>
      </c>
    </row>
    <row r="461" spans="1:3">
      <c r="A461" s="8" t="s">
        <v>1109</v>
      </c>
      <c r="B461" s="9" t="s">
        <v>1108</v>
      </c>
      <c r="C461" s="10">
        <v>0.47277229999999998</v>
      </c>
    </row>
    <row r="462" spans="1:3">
      <c r="A462" s="8" t="s">
        <v>1077</v>
      </c>
      <c r="B462" s="9" t="s">
        <v>2238</v>
      </c>
      <c r="C462" s="10">
        <v>1.1448769999999999</v>
      </c>
    </row>
    <row r="463" spans="1:3">
      <c r="A463" s="8" t="s">
        <v>1075</v>
      </c>
      <c r="B463" s="9" t="s">
        <v>2239</v>
      </c>
      <c r="C463" s="10">
        <v>1.1497580000000001</v>
      </c>
    </row>
    <row r="464" spans="1:3">
      <c r="A464" s="8" t="s">
        <v>1073</v>
      </c>
      <c r="B464" s="9" t="s">
        <v>2240</v>
      </c>
      <c r="C464" s="10">
        <v>1.1662669999999999</v>
      </c>
    </row>
    <row r="465" spans="1:3">
      <c r="A465" s="8" t="s">
        <v>1043</v>
      </c>
      <c r="B465" s="9" t="s">
        <v>2241</v>
      </c>
      <c r="C465" s="10">
        <v>1.440296</v>
      </c>
    </row>
    <row r="466" spans="1:3">
      <c r="A466" s="8" t="s">
        <v>1097</v>
      </c>
      <c r="B466" s="9" t="s">
        <v>2242</v>
      </c>
      <c r="C466" s="10">
        <v>0.95625190000000004</v>
      </c>
    </row>
    <row r="467" spans="1:3">
      <c r="A467" s="8" t="s">
        <v>1067</v>
      </c>
      <c r="B467" s="9" t="s">
        <v>2243</v>
      </c>
      <c r="C467" s="10">
        <v>1.226286</v>
      </c>
    </row>
    <row r="468" spans="1:3">
      <c r="A468" s="8" t="s">
        <v>1117</v>
      </c>
      <c r="B468" s="9" t="s">
        <v>2244</v>
      </c>
      <c r="C468" s="10">
        <v>0.28397430000000001</v>
      </c>
    </row>
    <row r="469" spans="1:3">
      <c r="A469" s="8" t="s">
        <v>1107</v>
      </c>
      <c r="B469" s="9" t="s">
        <v>2245</v>
      </c>
      <c r="C469" s="10">
        <v>0.60631270000000004</v>
      </c>
    </row>
    <row r="470" spans="1:3">
      <c r="A470" s="8" t="s">
        <v>1055</v>
      </c>
      <c r="B470" s="9" t="s">
        <v>2246</v>
      </c>
      <c r="C470" s="10">
        <v>1.297031</v>
      </c>
    </row>
    <row r="471" spans="1:3">
      <c r="A471" s="8" t="s">
        <v>1121</v>
      </c>
      <c r="B471" s="9" t="s">
        <v>2247</v>
      </c>
      <c r="C471" s="10">
        <v>0.20389189999999999</v>
      </c>
    </row>
    <row r="472" spans="1:3">
      <c r="A472" s="8" t="s">
        <v>1049</v>
      </c>
      <c r="B472" s="9" t="s">
        <v>2248</v>
      </c>
      <c r="C472" s="10">
        <v>1.364395</v>
      </c>
    </row>
    <row r="473" spans="1:3">
      <c r="A473" s="8" t="s">
        <v>1071</v>
      </c>
      <c r="B473" s="9" t="s">
        <v>2249</v>
      </c>
      <c r="C473" s="10">
        <v>1.174998</v>
      </c>
    </row>
    <row r="474" spans="1:3">
      <c r="A474" s="8" t="s">
        <v>1101</v>
      </c>
      <c r="B474" s="9" t="s">
        <v>2250</v>
      </c>
      <c r="C474" s="10">
        <v>0.83888609999999997</v>
      </c>
    </row>
    <row r="475" spans="1:3">
      <c r="A475" s="8" t="s">
        <v>1051</v>
      </c>
      <c r="B475" s="9" t="s">
        <v>2251</v>
      </c>
      <c r="C475" s="10">
        <v>1.3530979999999999</v>
      </c>
    </row>
    <row r="476" spans="1:3">
      <c r="A476" s="8" t="s">
        <v>1091</v>
      </c>
      <c r="B476" s="9" t="s">
        <v>2252</v>
      </c>
      <c r="C476" s="10">
        <v>1.0131859999999999</v>
      </c>
    </row>
    <row r="477" spans="1:3">
      <c r="A477" s="8" t="s">
        <v>1119</v>
      </c>
      <c r="B477" s="9" t="s">
        <v>2253</v>
      </c>
      <c r="C477" s="10">
        <v>0.22731199999999999</v>
      </c>
    </row>
    <row r="478" spans="1:3">
      <c r="A478" s="8" t="s">
        <v>1045</v>
      </c>
      <c r="B478" s="9" t="s">
        <v>2254</v>
      </c>
      <c r="C478" s="10">
        <v>1.4054150000000001</v>
      </c>
    </row>
    <row r="479" spans="1:3">
      <c r="A479" s="8" t="s">
        <v>1141</v>
      </c>
      <c r="B479" s="9" t="s">
        <v>2255</v>
      </c>
      <c r="C479" s="10">
        <v>-0.95911259999999998</v>
      </c>
    </row>
    <row r="480" spans="1:3">
      <c r="A480" s="8" t="s">
        <v>1099</v>
      </c>
      <c r="B480" s="9" t="s">
        <v>2256</v>
      </c>
      <c r="C480" s="10">
        <v>0.90744519999999995</v>
      </c>
    </row>
    <row r="481" spans="1:3">
      <c r="A481" s="8" t="s">
        <v>1065</v>
      </c>
      <c r="B481" s="9" t="s">
        <v>2257</v>
      </c>
      <c r="C481" s="10">
        <v>1.234523</v>
      </c>
    </row>
    <row r="482" spans="1:3">
      <c r="A482" s="8" t="s">
        <v>1143</v>
      </c>
      <c r="B482" s="9" t="s">
        <v>2258</v>
      </c>
      <c r="C482" s="10">
        <v>-0.97237720000000005</v>
      </c>
    </row>
    <row r="483" spans="1:3">
      <c r="A483" s="8" t="s">
        <v>1135</v>
      </c>
      <c r="B483" s="9" t="s">
        <v>2259</v>
      </c>
      <c r="C483" s="10">
        <v>-0.51869969999999999</v>
      </c>
    </row>
    <row r="484" spans="1:3">
      <c r="A484" s="8" t="s">
        <v>1145</v>
      </c>
      <c r="B484" s="9" t="s">
        <v>2260</v>
      </c>
      <c r="C484" s="10">
        <v>-1.0647150000000001</v>
      </c>
    </row>
    <row r="485" spans="1:3">
      <c r="A485" s="8" t="s">
        <v>1147</v>
      </c>
      <c r="B485" s="9" t="s">
        <v>2261</v>
      </c>
      <c r="C485" s="10">
        <v>-1.185001</v>
      </c>
    </row>
    <row r="486" spans="1:3">
      <c r="A486" s="8" t="s">
        <v>1103</v>
      </c>
      <c r="B486" s="9" t="s">
        <v>2262</v>
      </c>
      <c r="C486" s="10">
        <v>0.69991029999999999</v>
      </c>
    </row>
    <row r="487" spans="1:3">
      <c r="A487" s="8" t="s">
        <v>1137</v>
      </c>
      <c r="B487" s="9" t="s">
        <v>2263</v>
      </c>
      <c r="C487" s="10">
        <v>-0.74632129999999997</v>
      </c>
    </row>
    <row r="488" spans="1:3">
      <c r="A488" s="8" t="s">
        <v>2264</v>
      </c>
      <c r="B488" s="9" t="s">
        <v>2265</v>
      </c>
      <c r="C488" s="10">
        <v>-0.78929479999999996</v>
      </c>
    </row>
    <row r="489" spans="1:3">
      <c r="A489" s="8" t="s">
        <v>1131</v>
      </c>
      <c r="B489" s="9" t="s">
        <v>2266</v>
      </c>
      <c r="C489" s="10">
        <v>-0.18607889999999999</v>
      </c>
    </row>
    <row r="490" spans="1:3">
      <c r="A490" s="8" t="s">
        <v>1081</v>
      </c>
      <c r="B490" s="9" t="s">
        <v>2267</v>
      </c>
      <c r="C490" s="10">
        <v>1.0796429999999999</v>
      </c>
    </row>
    <row r="491" spans="1:3">
      <c r="A491" s="8" t="s">
        <v>1089</v>
      </c>
      <c r="B491" s="9" t="s">
        <v>2268</v>
      </c>
      <c r="C491" s="10">
        <v>1.0145409999999999</v>
      </c>
    </row>
    <row r="492" spans="1:3">
      <c r="A492" s="8" t="s">
        <v>1069</v>
      </c>
      <c r="B492" s="9" t="s">
        <v>2269</v>
      </c>
      <c r="C492" s="10">
        <v>1.2179819999999999</v>
      </c>
    </row>
    <row r="493" spans="1:3">
      <c r="A493" s="8" t="s">
        <v>1079</v>
      </c>
      <c r="B493" s="9" t="s">
        <v>2270</v>
      </c>
      <c r="C493" s="10">
        <v>1.099056</v>
      </c>
    </row>
    <row r="494" spans="1:3">
      <c r="A494" s="8" t="s">
        <v>2271</v>
      </c>
      <c r="B494" s="9" t="s">
        <v>2272</v>
      </c>
      <c r="C494" s="10">
        <v>0.70405189999999995</v>
      </c>
    </row>
    <row r="495" spans="1:3">
      <c r="A495" s="8" t="s">
        <v>1115</v>
      </c>
      <c r="B495" s="9" t="s">
        <v>2273</v>
      </c>
      <c r="C495" s="10">
        <v>0.31080809999999998</v>
      </c>
    </row>
    <row r="496" spans="1:3">
      <c r="A496" s="8" t="s">
        <v>1105</v>
      </c>
      <c r="B496" s="9" t="s">
        <v>2274</v>
      </c>
      <c r="C496" s="10">
        <v>0.62196059999999997</v>
      </c>
    </row>
    <row r="497" spans="1:3">
      <c r="A497" s="8" t="s">
        <v>1113</v>
      </c>
      <c r="B497" s="9" t="s">
        <v>2275</v>
      </c>
      <c r="C497" s="10">
        <v>0.34377429999999998</v>
      </c>
    </row>
    <row r="498" spans="1:3">
      <c r="A498" s="8" t="s">
        <v>1063</v>
      </c>
      <c r="B498" s="9" t="s">
        <v>2276</v>
      </c>
      <c r="C498" s="10">
        <v>1.2402010000000001</v>
      </c>
    </row>
    <row r="499" spans="1:3">
      <c r="A499" s="8" t="s">
        <v>1139</v>
      </c>
      <c r="B499" s="9" t="s">
        <v>2277</v>
      </c>
      <c r="C499" s="10">
        <v>-0.81846759999999996</v>
      </c>
    </row>
    <row r="500" spans="1:3">
      <c r="A500" s="8" t="s">
        <v>1093</v>
      </c>
      <c r="B500" s="9" t="s">
        <v>2278</v>
      </c>
      <c r="C500" s="10">
        <v>0.98889859999999996</v>
      </c>
    </row>
    <row r="501" spans="1:3">
      <c r="A501" s="8" t="s">
        <v>1133</v>
      </c>
      <c r="B501" s="9" t="s">
        <v>2279</v>
      </c>
      <c r="C501" s="10">
        <v>-0.51714039999999994</v>
      </c>
    </row>
    <row r="502" spans="1:3">
      <c r="A502" s="8" t="s">
        <v>1057</v>
      </c>
      <c r="B502" s="9" t="s">
        <v>2280</v>
      </c>
      <c r="C502" s="10">
        <v>1.288375</v>
      </c>
    </row>
    <row r="503" spans="1:3">
      <c r="A503" s="8" t="s">
        <v>1047</v>
      </c>
      <c r="B503" s="9" t="s">
        <v>2281</v>
      </c>
      <c r="C503" s="10">
        <v>1.3899649999999999</v>
      </c>
    </row>
    <row r="504" spans="1:3">
      <c r="A504" s="8" t="s">
        <v>1160</v>
      </c>
      <c r="B504" s="9" t="s">
        <v>2282</v>
      </c>
      <c r="C504" s="10">
        <v>-0.47918430000000001</v>
      </c>
    </row>
    <row r="505" spans="1:3">
      <c r="A505" s="8" t="s">
        <v>1149</v>
      </c>
      <c r="B505" s="9" t="s">
        <v>2283</v>
      </c>
      <c r="C505" s="10">
        <v>0.17048669999999999</v>
      </c>
    </row>
    <row r="506" spans="1:3">
      <c r="A506" s="8" t="s">
        <v>1164</v>
      </c>
      <c r="B506" s="9" t="s">
        <v>2284</v>
      </c>
      <c r="C506" s="10">
        <v>-1.044292</v>
      </c>
    </row>
    <row r="507" spans="1:3">
      <c r="A507" s="8" t="s">
        <v>1172</v>
      </c>
      <c r="B507" s="9" t="s">
        <v>2285</v>
      </c>
      <c r="C507" s="10">
        <v>-1.370968</v>
      </c>
    </row>
    <row r="508" spans="1:3">
      <c r="A508" s="8" t="s">
        <v>1170</v>
      </c>
      <c r="B508" s="9" t="s">
        <v>2286</v>
      </c>
      <c r="C508" s="10">
        <v>-1.1451560000000001</v>
      </c>
    </row>
    <row r="509" spans="1:3">
      <c r="A509" s="8" t="s">
        <v>1174</v>
      </c>
      <c r="B509" s="9" t="s">
        <v>2287</v>
      </c>
      <c r="C509" s="10">
        <v>-1.6013489999999999</v>
      </c>
    </row>
    <row r="510" spans="1:3">
      <c r="A510" s="8" t="s">
        <v>1168</v>
      </c>
      <c r="B510" s="9" t="s">
        <v>2288</v>
      </c>
      <c r="C510" s="10">
        <v>-1.1084320000000001</v>
      </c>
    </row>
    <row r="511" spans="1:3">
      <c r="A511" s="8" t="s">
        <v>2289</v>
      </c>
      <c r="B511" s="9" t="s">
        <v>2290</v>
      </c>
      <c r="C511" s="10">
        <v>-1.5132490000000001</v>
      </c>
    </row>
    <row r="512" spans="1:3">
      <c r="A512" s="8" t="s">
        <v>2291</v>
      </c>
      <c r="B512" s="9" t="s">
        <v>2292</v>
      </c>
      <c r="C512" s="10">
        <v>-1.304797</v>
      </c>
    </row>
    <row r="513" spans="1:3">
      <c r="A513" s="8" t="s">
        <v>1166</v>
      </c>
      <c r="B513" s="9" t="s">
        <v>2293</v>
      </c>
      <c r="C513" s="10">
        <v>-1.0642050000000001</v>
      </c>
    </row>
    <row r="514" spans="1:3">
      <c r="A514" s="8" t="s">
        <v>1176</v>
      </c>
      <c r="B514" s="9" t="s">
        <v>1175</v>
      </c>
      <c r="C514" s="10">
        <v>-1.795407</v>
      </c>
    </row>
    <row r="515" spans="1:3">
      <c r="A515" s="8" t="s">
        <v>1162</v>
      </c>
      <c r="B515" s="9" t="s">
        <v>2294</v>
      </c>
      <c r="C515" s="10">
        <v>-1.0037020000000001</v>
      </c>
    </row>
    <row r="516" spans="1:3">
      <c r="A516" s="8" t="s">
        <v>1158</v>
      </c>
      <c r="B516" s="9" t="s">
        <v>2295</v>
      </c>
      <c r="C516" s="10">
        <v>-0.47683049999999999</v>
      </c>
    </row>
    <row r="517" spans="1:3">
      <c r="A517" s="8" t="s">
        <v>1199</v>
      </c>
      <c r="B517" s="9" t="s">
        <v>2296</v>
      </c>
      <c r="C517" s="10">
        <v>-0.30540479999999998</v>
      </c>
    </row>
    <row r="518" spans="1:3">
      <c r="A518" s="8" t="s">
        <v>1215</v>
      </c>
      <c r="B518" s="9" t="s">
        <v>1214</v>
      </c>
      <c r="C518" s="10">
        <v>-1.097532</v>
      </c>
    </row>
    <row r="519" spans="1:3">
      <c r="A519" s="8" t="s">
        <v>1277</v>
      </c>
      <c r="B519" s="9" t="s">
        <v>2297</v>
      </c>
      <c r="C519" s="10">
        <v>-1.75434</v>
      </c>
    </row>
    <row r="520" spans="1:3">
      <c r="A520" s="8" t="s">
        <v>1269</v>
      </c>
      <c r="B520" s="9" t="s">
        <v>1268</v>
      </c>
      <c r="C520" s="10">
        <v>-1.7147589999999999</v>
      </c>
    </row>
    <row r="521" spans="1:3">
      <c r="A521" s="8" t="s">
        <v>1239</v>
      </c>
      <c r="B521" s="9" t="s">
        <v>1238</v>
      </c>
      <c r="C521" s="10">
        <v>-1.323631</v>
      </c>
    </row>
    <row r="522" spans="1:3">
      <c r="A522" s="8" t="s">
        <v>1257</v>
      </c>
      <c r="B522" s="9" t="s">
        <v>2298</v>
      </c>
      <c r="C522" s="10">
        <v>-1.5645770000000001</v>
      </c>
    </row>
    <row r="523" spans="1:3">
      <c r="A523" s="8" t="s">
        <v>1237</v>
      </c>
      <c r="B523" s="9" t="s">
        <v>2299</v>
      </c>
      <c r="C523" s="10">
        <v>-1.301024</v>
      </c>
    </row>
    <row r="524" spans="1:3">
      <c r="A524" s="8" t="s">
        <v>1273</v>
      </c>
      <c r="B524" s="9" t="s">
        <v>2300</v>
      </c>
      <c r="C524" s="10">
        <v>-1.7487220000000001</v>
      </c>
    </row>
    <row r="525" spans="1:3">
      <c r="A525" s="8" t="s">
        <v>1229</v>
      </c>
      <c r="B525" s="9" t="s">
        <v>2301</v>
      </c>
      <c r="C525" s="10">
        <v>-1.22543</v>
      </c>
    </row>
    <row r="526" spans="1:3">
      <c r="A526" s="8" t="s">
        <v>1285</v>
      </c>
      <c r="B526" s="9" t="s">
        <v>2302</v>
      </c>
      <c r="C526" s="10">
        <v>-1.777407</v>
      </c>
    </row>
    <row r="527" spans="1:3">
      <c r="A527" s="8" t="s">
        <v>1283</v>
      </c>
      <c r="B527" s="9" t="s">
        <v>2303</v>
      </c>
      <c r="C527" s="10">
        <v>-1.776065</v>
      </c>
    </row>
    <row r="528" spans="1:3">
      <c r="A528" s="8" t="s">
        <v>1263</v>
      </c>
      <c r="B528" s="9" t="s">
        <v>2304</v>
      </c>
      <c r="C528" s="10">
        <v>-1.6229880000000001</v>
      </c>
    </row>
    <row r="529" spans="1:3">
      <c r="A529" s="8" t="s">
        <v>1223</v>
      </c>
      <c r="B529" s="9" t="s">
        <v>2305</v>
      </c>
      <c r="C529" s="10">
        <v>-1.184739</v>
      </c>
    </row>
    <row r="530" spans="1:3">
      <c r="A530" s="8" t="s">
        <v>1227</v>
      </c>
      <c r="B530" s="9" t="s">
        <v>2306</v>
      </c>
      <c r="C530" s="10">
        <v>-1.2200089999999999</v>
      </c>
    </row>
    <row r="531" spans="1:3">
      <c r="A531" s="8" t="s">
        <v>1209</v>
      </c>
      <c r="B531" s="9" t="s">
        <v>2307</v>
      </c>
      <c r="C531" s="10">
        <v>-0.88150779999999995</v>
      </c>
    </row>
    <row r="532" spans="1:3">
      <c r="A532" s="8" t="s">
        <v>1265</v>
      </c>
      <c r="B532" s="9" t="s">
        <v>2308</v>
      </c>
      <c r="C532" s="10">
        <v>-1.6479710000000001</v>
      </c>
    </row>
    <row r="533" spans="1:3">
      <c r="A533" s="8" t="s">
        <v>1253</v>
      </c>
      <c r="B533" s="9" t="s">
        <v>1252</v>
      </c>
      <c r="C533" s="10">
        <v>-1.5407740000000001</v>
      </c>
    </row>
    <row r="534" spans="1:3">
      <c r="A534" s="8" t="s">
        <v>1205</v>
      </c>
      <c r="B534" s="9" t="s">
        <v>1204</v>
      </c>
      <c r="C534" s="10">
        <v>-0.77969049999999995</v>
      </c>
    </row>
    <row r="535" spans="1:3">
      <c r="A535" s="8" t="s">
        <v>1241</v>
      </c>
      <c r="B535" s="9" t="s">
        <v>1240</v>
      </c>
      <c r="C535" s="10">
        <v>-1.3889009999999999</v>
      </c>
    </row>
    <row r="536" spans="1:3">
      <c r="A536" s="8" t="s">
        <v>1261</v>
      </c>
      <c r="B536" s="9" t="s">
        <v>2309</v>
      </c>
      <c r="C536" s="10">
        <v>-1.6187720000000001</v>
      </c>
    </row>
    <row r="537" spans="1:3">
      <c r="A537" s="8" t="s">
        <v>1233</v>
      </c>
      <c r="B537" s="9" t="s">
        <v>2310</v>
      </c>
      <c r="C537" s="10">
        <v>-1.268615</v>
      </c>
    </row>
    <row r="538" spans="1:3">
      <c r="A538" s="8" t="s">
        <v>1259</v>
      </c>
      <c r="B538" s="9" t="s">
        <v>2311</v>
      </c>
      <c r="C538" s="10">
        <v>-1.58799</v>
      </c>
    </row>
    <row r="539" spans="1:3">
      <c r="A539" s="8" t="s">
        <v>1271</v>
      </c>
      <c r="B539" s="9" t="s">
        <v>1270</v>
      </c>
      <c r="C539" s="10">
        <v>-1.72753</v>
      </c>
    </row>
    <row r="540" spans="1:3">
      <c r="A540" s="8" t="s">
        <v>1231</v>
      </c>
      <c r="B540" s="9" t="s">
        <v>1230</v>
      </c>
      <c r="C540" s="10">
        <v>-1.225611</v>
      </c>
    </row>
    <row r="541" spans="1:3">
      <c r="A541" s="8" t="s">
        <v>1217</v>
      </c>
      <c r="B541" s="9" t="s">
        <v>2312</v>
      </c>
      <c r="C541" s="10">
        <v>-1.121219</v>
      </c>
    </row>
    <row r="542" spans="1:3">
      <c r="A542" s="8" t="s">
        <v>1279</v>
      </c>
      <c r="B542" s="9" t="s">
        <v>2313</v>
      </c>
      <c r="C542" s="10">
        <v>-1.7555879999999999</v>
      </c>
    </row>
    <row r="543" spans="1:3">
      <c r="A543" s="8" t="s">
        <v>1295</v>
      </c>
      <c r="B543" s="9" t="s">
        <v>2314</v>
      </c>
      <c r="C543" s="10">
        <v>-1.9709970000000001</v>
      </c>
    </row>
    <row r="544" spans="1:3">
      <c r="A544" s="8" t="s">
        <v>1275</v>
      </c>
      <c r="B544" s="9" t="s">
        <v>1274</v>
      </c>
      <c r="C544" s="10">
        <v>-1.7529410000000001</v>
      </c>
    </row>
    <row r="545" spans="1:3">
      <c r="A545" s="8" t="s">
        <v>1221</v>
      </c>
      <c r="B545" s="9" t="s">
        <v>2315</v>
      </c>
      <c r="C545" s="10">
        <v>-1.1749719999999999</v>
      </c>
    </row>
    <row r="546" spans="1:3">
      <c r="A546" s="8" t="s">
        <v>1287</v>
      </c>
      <c r="B546" s="9" t="s">
        <v>2316</v>
      </c>
      <c r="C546" s="10">
        <v>-1.780065</v>
      </c>
    </row>
    <row r="547" spans="1:3">
      <c r="A547" s="8" t="s">
        <v>1211</v>
      </c>
      <c r="B547" s="9" t="s">
        <v>2317</v>
      </c>
      <c r="C547" s="10">
        <v>-0.94416920000000004</v>
      </c>
    </row>
    <row r="548" spans="1:3">
      <c r="A548" s="8" t="s">
        <v>1293</v>
      </c>
      <c r="B548" s="9" t="s">
        <v>2318</v>
      </c>
      <c r="C548" s="10">
        <v>-1.9422900000000001</v>
      </c>
    </row>
    <row r="549" spans="1:3">
      <c r="A549" s="8" t="s">
        <v>1247</v>
      </c>
      <c r="B549" s="9" t="s">
        <v>2319</v>
      </c>
      <c r="C549" s="10">
        <v>-1.4252819999999999</v>
      </c>
    </row>
    <row r="550" spans="1:3">
      <c r="A550" s="8" t="s">
        <v>1249</v>
      </c>
      <c r="B550" s="9" t="s">
        <v>2320</v>
      </c>
      <c r="C550" s="10">
        <v>-1.506896</v>
      </c>
    </row>
    <row r="551" spans="1:3">
      <c r="A551" s="8" t="s">
        <v>1297</v>
      </c>
      <c r="B551" s="9" t="s">
        <v>2321</v>
      </c>
      <c r="C551" s="10">
        <v>-2.0448400000000002</v>
      </c>
    </row>
    <row r="552" spans="1:3">
      <c r="A552" s="8" t="s">
        <v>1267</v>
      </c>
      <c r="B552" s="9" t="s">
        <v>2322</v>
      </c>
      <c r="C552" s="10">
        <v>-1.678876</v>
      </c>
    </row>
    <row r="553" spans="1:3">
      <c r="A553" s="8" t="s">
        <v>1289</v>
      </c>
      <c r="B553" s="9" t="s">
        <v>2323</v>
      </c>
      <c r="C553" s="10">
        <v>-1.89822</v>
      </c>
    </row>
    <row r="554" spans="1:3">
      <c r="A554" s="8" t="s">
        <v>1178</v>
      </c>
      <c r="B554" s="9" t="s">
        <v>2324</v>
      </c>
      <c r="C554" s="10">
        <v>0.28602450000000001</v>
      </c>
    </row>
    <row r="555" spans="1:3">
      <c r="A555" s="8" t="s">
        <v>1207</v>
      </c>
      <c r="B555" s="9" t="s">
        <v>2325</v>
      </c>
      <c r="C555" s="10">
        <v>-0.86047419999999997</v>
      </c>
    </row>
    <row r="556" spans="1:3">
      <c r="A556" s="8" t="s">
        <v>1291</v>
      </c>
      <c r="B556" s="9" t="s">
        <v>2326</v>
      </c>
      <c r="C556" s="10">
        <v>-1.9021129999999999</v>
      </c>
    </row>
    <row r="557" spans="1:3">
      <c r="A557" s="8" t="s">
        <v>1201</v>
      </c>
      <c r="B557" s="9" t="s">
        <v>2327</v>
      </c>
      <c r="C557" s="10">
        <v>-0.68874389999999996</v>
      </c>
    </row>
    <row r="558" spans="1:3">
      <c r="A558" s="8" t="s">
        <v>1235</v>
      </c>
      <c r="B558" s="9" t="s">
        <v>2328</v>
      </c>
      <c r="C558" s="10">
        <v>-1.2790900000000001</v>
      </c>
    </row>
    <row r="559" spans="1:3">
      <c r="A559" s="8" t="s">
        <v>1243</v>
      </c>
      <c r="B559" s="9" t="s">
        <v>2329</v>
      </c>
      <c r="C559" s="10">
        <v>-1.39906</v>
      </c>
    </row>
    <row r="560" spans="1:3">
      <c r="A560" s="8" t="s">
        <v>1225</v>
      </c>
      <c r="B560" s="9" t="s">
        <v>2330</v>
      </c>
      <c r="C560" s="10">
        <v>-1.210591</v>
      </c>
    </row>
    <row r="561" spans="1:3">
      <c r="A561" s="8" t="s">
        <v>2331</v>
      </c>
      <c r="B561" s="9" t="s">
        <v>2332</v>
      </c>
      <c r="C561" s="10">
        <v>-0.9827304</v>
      </c>
    </row>
    <row r="562" spans="1:3">
      <c r="A562" s="8" t="s">
        <v>2333</v>
      </c>
      <c r="B562" s="9" t="s">
        <v>2334</v>
      </c>
      <c r="C562" s="10">
        <v>-0.87284390000000001</v>
      </c>
    </row>
    <row r="563" spans="1:3">
      <c r="A563" s="8" t="s">
        <v>1245</v>
      </c>
      <c r="B563" s="9" t="s">
        <v>2335</v>
      </c>
      <c r="C563" s="10">
        <v>-1.4150020000000001</v>
      </c>
    </row>
    <row r="564" spans="1:3">
      <c r="A564" s="8" t="s">
        <v>1203</v>
      </c>
      <c r="B564" s="9" t="s">
        <v>2336</v>
      </c>
      <c r="C564" s="10">
        <v>-0.77373259999999999</v>
      </c>
    </row>
    <row r="565" spans="1:3">
      <c r="A565" s="8" t="s">
        <v>1213</v>
      </c>
      <c r="B565" s="9" t="s">
        <v>2337</v>
      </c>
      <c r="C565" s="10">
        <v>-0.971916</v>
      </c>
    </row>
    <row r="566" spans="1:3">
      <c r="A566" s="8" t="s">
        <v>2338</v>
      </c>
      <c r="B566" s="9" t="s">
        <v>2339</v>
      </c>
      <c r="C566" s="10">
        <v>-0.70183910000000005</v>
      </c>
    </row>
    <row r="567" spans="1:3">
      <c r="A567" s="8" t="s">
        <v>2340</v>
      </c>
      <c r="B567" s="9" t="s">
        <v>2341</v>
      </c>
      <c r="C567" s="10">
        <v>-0.77302700000000002</v>
      </c>
    </row>
    <row r="568" spans="1:3">
      <c r="A568" s="8" t="s">
        <v>1219</v>
      </c>
      <c r="B568" s="9" t="s">
        <v>2342</v>
      </c>
      <c r="C568" s="10">
        <v>-1.165492</v>
      </c>
    </row>
    <row r="569" spans="1:3">
      <c r="A569" s="8" t="s">
        <v>2343</v>
      </c>
      <c r="B569" s="9" t="s">
        <v>2344</v>
      </c>
      <c r="C569" s="10">
        <v>-1.2004250000000001</v>
      </c>
    </row>
    <row r="570" spans="1:3">
      <c r="A570" s="8" t="s">
        <v>1281</v>
      </c>
      <c r="B570" s="9" t="s">
        <v>2345</v>
      </c>
      <c r="C570" s="10">
        <v>-1.7634939999999999</v>
      </c>
    </row>
    <row r="571" spans="1:3">
      <c r="A571" s="8" t="s">
        <v>2346</v>
      </c>
      <c r="B571" s="9" t="s">
        <v>2347</v>
      </c>
      <c r="C571" s="10">
        <v>-1.6185179999999999</v>
      </c>
    </row>
    <row r="572" spans="1:3">
      <c r="A572" s="8" t="s">
        <v>1251</v>
      </c>
      <c r="B572" s="9" t="s">
        <v>2348</v>
      </c>
      <c r="C572" s="10">
        <v>-1.518977</v>
      </c>
    </row>
    <row r="573" spans="1:3">
      <c r="A573" s="8" t="s">
        <v>1255</v>
      </c>
      <c r="B573" s="9" t="s">
        <v>2349</v>
      </c>
      <c r="C573" s="10">
        <v>-1.5431539999999999</v>
      </c>
    </row>
    <row r="574" spans="1:3">
      <c r="A574" s="8" t="s">
        <v>1304</v>
      </c>
      <c r="B574" s="9" t="s">
        <v>2350</v>
      </c>
      <c r="C574" s="10">
        <v>-2.0516900000000001E-2</v>
      </c>
    </row>
    <row r="575" spans="1:3">
      <c r="A575" s="8" t="s">
        <v>1312</v>
      </c>
      <c r="B575" s="9" t="s">
        <v>2351</v>
      </c>
      <c r="C575" s="10">
        <v>-0.34582469999999998</v>
      </c>
    </row>
    <row r="576" spans="1:3">
      <c r="A576" s="8" t="s">
        <v>1324</v>
      </c>
      <c r="B576" s="9" t="s">
        <v>2352</v>
      </c>
      <c r="C576" s="10">
        <v>-0.63353820000000005</v>
      </c>
    </row>
    <row r="577" spans="1:3">
      <c r="A577" s="8" t="s">
        <v>1344</v>
      </c>
      <c r="B577" s="9" t="s">
        <v>2353</v>
      </c>
      <c r="C577" s="10">
        <v>-0.85304800000000003</v>
      </c>
    </row>
    <row r="578" spans="1:3">
      <c r="A578" s="8" t="s">
        <v>1306</v>
      </c>
      <c r="B578" s="9" t="s">
        <v>2354</v>
      </c>
      <c r="C578" s="10">
        <v>-0.17285349999999999</v>
      </c>
    </row>
    <row r="579" spans="1:3">
      <c r="A579" s="8" t="s">
        <v>1338</v>
      </c>
      <c r="B579" s="9" t="s">
        <v>2355</v>
      </c>
      <c r="C579" s="10">
        <v>-0.81063410000000002</v>
      </c>
    </row>
    <row r="580" spans="1:3">
      <c r="A580" s="8" t="s">
        <v>1340</v>
      </c>
      <c r="B580" s="9" t="s">
        <v>2356</v>
      </c>
      <c r="C580" s="10">
        <v>-0.83038749999999995</v>
      </c>
    </row>
    <row r="581" spans="1:3">
      <c r="A581" s="8" t="s">
        <v>1314</v>
      </c>
      <c r="B581" s="9" t="s">
        <v>2357</v>
      </c>
      <c r="C581" s="10">
        <v>-0.46320309999999998</v>
      </c>
    </row>
    <row r="582" spans="1:3">
      <c r="A582" s="8" t="s">
        <v>1318</v>
      </c>
      <c r="B582" s="9" t="s">
        <v>2358</v>
      </c>
      <c r="C582" s="10">
        <v>-0.55226359999999997</v>
      </c>
    </row>
    <row r="583" spans="1:3">
      <c r="A583" s="8" t="s">
        <v>1336</v>
      </c>
      <c r="B583" s="9" t="s">
        <v>2359</v>
      </c>
      <c r="C583" s="10">
        <v>-0.79159679999999999</v>
      </c>
    </row>
    <row r="584" spans="1:3">
      <c r="A584" s="8" t="s">
        <v>1320</v>
      </c>
      <c r="B584" s="9" t="s">
        <v>2360</v>
      </c>
      <c r="C584" s="10">
        <v>-0.57128400000000001</v>
      </c>
    </row>
    <row r="585" spans="1:3">
      <c r="A585" s="8" t="s">
        <v>1328</v>
      </c>
      <c r="B585" s="9" t="s">
        <v>2361</v>
      </c>
      <c r="C585" s="10">
        <v>-0.69264840000000005</v>
      </c>
    </row>
    <row r="586" spans="1:3">
      <c r="A586" s="8" t="s">
        <v>1326</v>
      </c>
      <c r="B586" s="9" t="s">
        <v>2362</v>
      </c>
      <c r="C586" s="10">
        <v>-0.65511969999999997</v>
      </c>
    </row>
    <row r="587" spans="1:3">
      <c r="A587" s="8" t="s">
        <v>1380</v>
      </c>
      <c r="B587" s="9" t="s">
        <v>2363</v>
      </c>
      <c r="C587" s="10">
        <v>-1.1805890000000001</v>
      </c>
    </row>
    <row r="588" spans="1:3">
      <c r="A588" s="8" t="s">
        <v>1382</v>
      </c>
      <c r="B588" s="9" t="s">
        <v>2364</v>
      </c>
      <c r="C588" s="10">
        <v>-1.202285</v>
      </c>
    </row>
    <row r="589" spans="1:3">
      <c r="A589" s="8" t="s">
        <v>1358</v>
      </c>
      <c r="B589" s="9" t="s">
        <v>2365</v>
      </c>
      <c r="C589" s="10">
        <v>-0.95470549999999998</v>
      </c>
    </row>
    <row r="590" spans="1:3">
      <c r="A590" s="8" t="s">
        <v>1366</v>
      </c>
      <c r="B590" s="9" t="s">
        <v>2366</v>
      </c>
      <c r="C590" s="10">
        <v>-1.010472</v>
      </c>
    </row>
    <row r="591" spans="1:3">
      <c r="A591" s="8" t="s">
        <v>1384</v>
      </c>
      <c r="B591" s="9" t="s">
        <v>2367</v>
      </c>
      <c r="C591" s="10">
        <v>-1.20703</v>
      </c>
    </row>
    <row r="592" spans="1:3">
      <c r="A592" s="8" t="s">
        <v>1378</v>
      </c>
      <c r="B592" s="9" t="s">
        <v>2368</v>
      </c>
      <c r="C592" s="10">
        <v>-1.169815</v>
      </c>
    </row>
    <row r="593" spans="1:3">
      <c r="A593" s="8" t="s">
        <v>1398</v>
      </c>
      <c r="B593" s="9" t="s">
        <v>2369</v>
      </c>
      <c r="C593" s="10">
        <v>-1.448102</v>
      </c>
    </row>
    <row r="594" spans="1:3">
      <c r="A594" s="8" t="s">
        <v>1350</v>
      </c>
      <c r="B594" s="9" t="s">
        <v>2370</v>
      </c>
      <c r="C594" s="10">
        <v>-0.88636020000000004</v>
      </c>
    </row>
    <row r="595" spans="1:3">
      <c r="A595" s="8" t="s">
        <v>1334</v>
      </c>
      <c r="B595" s="9" t="s">
        <v>2371</v>
      </c>
      <c r="C595" s="10">
        <v>-0.76372099999999998</v>
      </c>
    </row>
    <row r="596" spans="1:3">
      <c r="A596" s="8" t="s">
        <v>1352</v>
      </c>
      <c r="B596" s="9" t="s">
        <v>2372</v>
      </c>
      <c r="C596" s="10">
        <v>-0.89414079999999996</v>
      </c>
    </row>
    <row r="597" spans="1:3">
      <c r="A597" s="8" t="s">
        <v>1354</v>
      </c>
      <c r="B597" s="9" t="s">
        <v>2373</v>
      </c>
      <c r="C597" s="10">
        <v>-0.92260679999999995</v>
      </c>
    </row>
    <row r="598" spans="1:3">
      <c r="A598" s="8" t="s">
        <v>1356</v>
      </c>
      <c r="B598" s="9" t="s">
        <v>2374</v>
      </c>
      <c r="C598" s="10">
        <v>-0.92440520000000004</v>
      </c>
    </row>
    <row r="599" spans="1:3">
      <c r="A599" s="8" t="s">
        <v>1400</v>
      </c>
      <c r="B599" s="9" t="s">
        <v>2375</v>
      </c>
      <c r="C599" s="10">
        <v>-1.550724</v>
      </c>
    </row>
    <row r="600" spans="1:3">
      <c r="A600" s="8" t="s">
        <v>1394</v>
      </c>
      <c r="B600" s="9" t="s">
        <v>2376</v>
      </c>
      <c r="C600" s="10">
        <v>-1.3831519999999999</v>
      </c>
    </row>
    <row r="601" spans="1:3">
      <c r="A601" s="8" t="s">
        <v>1332</v>
      </c>
      <c r="B601" s="9" t="s">
        <v>2377</v>
      </c>
      <c r="C601" s="10">
        <v>-0.76069129999999996</v>
      </c>
    </row>
    <row r="602" spans="1:3">
      <c r="A602" s="8" t="s">
        <v>1342</v>
      </c>
      <c r="B602" s="9" t="s">
        <v>2378</v>
      </c>
      <c r="C602" s="10">
        <v>-0.84911170000000002</v>
      </c>
    </row>
    <row r="603" spans="1:3">
      <c r="A603" s="8" t="s">
        <v>1360</v>
      </c>
      <c r="B603" s="9" t="s">
        <v>2379</v>
      </c>
      <c r="C603" s="10">
        <v>-0.97037989999999996</v>
      </c>
    </row>
    <row r="604" spans="1:3">
      <c r="A604" s="8" t="s">
        <v>1376</v>
      </c>
      <c r="B604" s="9" t="s">
        <v>2380</v>
      </c>
      <c r="C604" s="10">
        <v>-1.1331770000000001</v>
      </c>
    </row>
    <row r="605" spans="1:3">
      <c r="A605" s="8" t="s">
        <v>1364</v>
      </c>
      <c r="B605" s="9" t="s">
        <v>2381</v>
      </c>
      <c r="C605" s="10">
        <v>-0.9735492</v>
      </c>
    </row>
    <row r="606" spans="1:3">
      <c r="A606" s="8" t="s">
        <v>1390</v>
      </c>
      <c r="B606" s="9" t="s">
        <v>1389</v>
      </c>
      <c r="C606" s="10">
        <v>-1.2660849999999999</v>
      </c>
    </row>
    <row r="607" spans="1:3">
      <c r="A607" s="8" t="s">
        <v>1388</v>
      </c>
      <c r="B607" s="9" t="s">
        <v>2382</v>
      </c>
      <c r="C607" s="10">
        <v>-1.237463</v>
      </c>
    </row>
    <row r="608" spans="1:3">
      <c r="A608" s="8" t="s">
        <v>1370</v>
      </c>
      <c r="B608" s="9" t="s">
        <v>2383</v>
      </c>
      <c r="C608" s="10">
        <v>-1.0813980000000001</v>
      </c>
    </row>
    <row r="609" spans="1:3">
      <c r="A609" s="8" t="s">
        <v>1372</v>
      </c>
      <c r="B609" s="9" t="s">
        <v>2384</v>
      </c>
      <c r="C609" s="10">
        <v>-1.0838829999999999</v>
      </c>
    </row>
    <row r="610" spans="1:3">
      <c r="A610" s="8" t="s">
        <v>1299</v>
      </c>
      <c r="B610" s="9" t="s">
        <v>2385</v>
      </c>
      <c r="C610" s="10">
        <v>5.4642200000000002E-2</v>
      </c>
    </row>
    <row r="611" spans="1:3">
      <c r="A611" s="8" t="s">
        <v>1310</v>
      </c>
      <c r="B611" s="9" t="s">
        <v>2386</v>
      </c>
      <c r="C611" s="10">
        <v>-0.27688380000000001</v>
      </c>
    </row>
    <row r="612" spans="1:3">
      <c r="A612" s="8" t="s">
        <v>1316</v>
      </c>
      <c r="B612" s="9" t="s">
        <v>2387</v>
      </c>
      <c r="C612" s="10">
        <v>-0.53062710000000002</v>
      </c>
    </row>
    <row r="613" spans="1:3">
      <c r="A613" s="8" t="s">
        <v>1308</v>
      </c>
      <c r="B613" s="9" t="s">
        <v>2388</v>
      </c>
      <c r="C613" s="10">
        <v>-0.21239959999999999</v>
      </c>
    </row>
    <row r="614" spans="1:3">
      <c r="A614" s="8" t="s">
        <v>1368</v>
      </c>
      <c r="B614" s="9" t="s">
        <v>2389</v>
      </c>
      <c r="C614" s="10">
        <v>-1.014408</v>
      </c>
    </row>
    <row r="615" spans="1:3">
      <c r="A615" s="8" t="s">
        <v>1362</v>
      </c>
      <c r="B615" s="9" t="s">
        <v>2390</v>
      </c>
      <c r="C615" s="10">
        <v>-0.97099349999999995</v>
      </c>
    </row>
    <row r="616" spans="1:3">
      <c r="A616" s="8" t="s">
        <v>1330</v>
      </c>
      <c r="B616" s="9" t="s">
        <v>2391</v>
      </c>
      <c r="C616" s="10">
        <v>-0.72339949999999997</v>
      </c>
    </row>
    <row r="617" spans="1:3">
      <c r="A617" s="8" t="s">
        <v>1374</v>
      </c>
      <c r="B617" s="9" t="s">
        <v>2392</v>
      </c>
      <c r="C617" s="10">
        <v>-1.1027279999999999</v>
      </c>
    </row>
    <row r="618" spans="1:3">
      <c r="A618" s="8" t="s">
        <v>2393</v>
      </c>
      <c r="B618" s="9" t="s">
        <v>2394</v>
      </c>
      <c r="C618" s="10">
        <v>-1.3728389999999999</v>
      </c>
    </row>
    <row r="619" spans="1:3">
      <c r="A619" s="8" t="s">
        <v>1348</v>
      </c>
      <c r="B619" s="9" t="s">
        <v>2395</v>
      </c>
      <c r="C619" s="10">
        <v>-0.86574980000000001</v>
      </c>
    </row>
    <row r="620" spans="1:3">
      <c r="A620" s="8" t="s">
        <v>1396</v>
      </c>
      <c r="B620" s="9" t="s">
        <v>2396</v>
      </c>
      <c r="C620" s="10">
        <v>-1.4140619999999999</v>
      </c>
    </row>
    <row r="621" spans="1:3">
      <c r="A621" s="8" t="s">
        <v>1386</v>
      </c>
      <c r="B621" s="9" t="s">
        <v>1385</v>
      </c>
      <c r="C621" s="10">
        <v>-1.221519</v>
      </c>
    </row>
    <row r="622" spans="1:3">
      <c r="A622" s="8" t="s">
        <v>1346</v>
      </c>
      <c r="B622" s="9" t="s">
        <v>2397</v>
      </c>
      <c r="C622" s="10">
        <v>-0.85822100000000001</v>
      </c>
    </row>
    <row r="623" spans="1:3">
      <c r="A623" s="8" t="s">
        <v>1392</v>
      </c>
      <c r="B623" s="9" t="s">
        <v>2398</v>
      </c>
      <c r="C623" s="10">
        <v>-1.3465549999999999</v>
      </c>
    </row>
    <row r="624" spans="1:3">
      <c r="A624" s="8" t="s">
        <v>1322</v>
      </c>
      <c r="B624" s="9" t="s">
        <v>2399</v>
      </c>
      <c r="C624" s="10">
        <v>-0.59007909999999997</v>
      </c>
    </row>
    <row r="625" spans="1:3">
      <c r="A625" s="8" t="s">
        <v>1437</v>
      </c>
      <c r="B625" s="9" t="s">
        <v>2400</v>
      </c>
      <c r="C625" s="10">
        <v>-8.4528199999999998E-2</v>
      </c>
    </row>
    <row r="626" spans="1:3">
      <c r="A626" s="8" t="s">
        <v>1507</v>
      </c>
      <c r="B626" s="9" t="s">
        <v>2401</v>
      </c>
      <c r="C626" s="10">
        <v>-0.86847059999999998</v>
      </c>
    </row>
    <row r="627" spans="1:3">
      <c r="A627" s="8" t="s">
        <v>1499</v>
      </c>
      <c r="B627" s="9" t="s">
        <v>2402</v>
      </c>
      <c r="C627" s="10">
        <v>-0.82897220000000005</v>
      </c>
    </row>
    <row r="628" spans="1:3">
      <c r="A628" s="8" t="s">
        <v>2403</v>
      </c>
      <c r="B628" s="9" t="s">
        <v>2404</v>
      </c>
      <c r="C628" s="10">
        <v>-0.62488069999999996</v>
      </c>
    </row>
    <row r="629" spans="1:3">
      <c r="A629" s="8" t="s">
        <v>2405</v>
      </c>
      <c r="B629" s="9" t="s">
        <v>2406</v>
      </c>
      <c r="C629" s="10">
        <v>-0.49772759999999999</v>
      </c>
    </row>
    <row r="630" spans="1:3">
      <c r="A630" s="8" t="s">
        <v>1523</v>
      </c>
      <c r="B630" s="9" t="s">
        <v>2407</v>
      </c>
      <c r="C630" s="10">
        <v>-0.95614529999999998</v>
      </c>
    </row>
    <row r="631" spans="1:3">
      <c r="A631" s="8" t="s">
        <v>1561</v>
      </c>
      <c r="B631" s="9" t="s">
        <v>2408</v>
      </c>
      <c r="C631" s="10">
        <v>-1.0763069999999999</v>
      </c>
    </row>
    <row r="632" spans="1:3">
      <c r="A632" s="8" t="s">
        <v>2409</v>
      </c>
      <c r="B632" s="9" t="s">
        <v>2410</v>
      </c>
      <c r="C632" s="10">
        <v>-1.216496</v>
      </c>
    </row>
    <row r="633" spans="1:3">
      <c r="A633" s="8" t="s">
        <v>2411</v>
      </c>
      <c r="B633" s="9" t="s">
        <v>2412</v>
      </c>
      <c r="C633" s="10">
        <v>-0.83054410000000001</v>
      </c>
    </row>
    <row r="634" spans="1:3">
      <c r="A634" s="8" t="s">
        <v>2413</v>
      </c>
      <c r="B634" s="9" t="s">
        <v>2414</v>
      </c>
      <c r="C634" s="10">
        <v>-0.2552991</v>
      </c>
    </row>
    <row r="635" spans="1:3">
      <c r="A635" s="8" t="s">
        <v>1453</v>
      </c>
      <c r="B635" s="9" t="s">
        <v>1452</v>
      </c>
      <c r="C635" s="10">
        <v>-0.3852989</v>
      </c>
    </row>
    <row r="636" spans="1:3">
      <c r="A636" s="8" t="s">
        <v>1533</v>
      </c>
      <c r="B636" s="9" t="s">
        <v>2415</v>
      </c>
      <c r="C636" s="10">
        <v>-0.97099239999999998</v>
      </c>
    </row>
    <row r="637" spans="1:3">
      <c r="A637" s="8" t="s">
        <v>1569</v>
      </c>
      <c r="B637" s="9" t="s">
        <v>2416</v>
      </c>
      <c r="C637" s="10">
        <v>-1.1056299999999999</v>
      </c>
    </row>
    <row r="638" spans="1:3">
      <c r="A638" s="8" t="s">
        <v>1609</v>
      </c>
      <c r="B638" s="9" t="s">
        <v>2417</v>
      </c>
      <c r="C638" s="10">
        <v>-1.834668</v>
      </c>
    </row>
    <row r="639" spans="1:3">
      <c r="A639" s="8" t="s">
        <v>1491</v>
      </c>
      <c r="B639" s="9" t="s">
        <v>2418</v>
      </c>
      <c r="C639" s="10">
        <v>-0.75885899999999995</v>
      </c>
    </row>
    <row r="640" spans="1:3">
      <c r="A640" s="8" t="s">
        <v>1449</v>
      </c>
      <c r="B640" s="9" t="s">
        <v>2419</v>
      </c>
      <c r="C640" s="10">
        <v>-0.37911139999999999</v>
      </c>
    </row>
    <row r="641" spans="1:3">
      <c r="A641" s="8" t="s">
        <v>1467</v>
      </c>
      <c r="B641" s="9" t="s">
        <v>2420</v>
      </c>
      <c r="C641" s="10">
        <v>-0.55598939999999997</v>
      </c>
    </row>
    <row r="642" spans="1:3">
      <c r="A642" s="8" t="s">
        <v>2421</v>
      </c>
      <c r="B642" s="9" t="s">
        <v>2422</v>
      </c>
      <c r="C642" s="10">
        <v>-0.67374440000000002</v>
      </c>
    </row>
    <row r="643" spans="1:3">
      <c r="A643" s="8" t="s">
        <v>2423</v>
      </c>
      <c r="B643" s="9" t="s">
        <v>2424</v>
      </c>
      <c r="C643" s="10">
        <v>-2.41824E-2</v>
      </c>
    </row>
    <row r="644" spans="1:3">
      <c r="A644" s="8" t="s">
        <v>1589</v>
      </c>
      <c r="B644" s="9" t="s">
        <v>2425</v>
      </c>
      <c r="C644" s="10">
        <v>-1.2343519999999999</v>
      </c>
    </row>
    <row r="645" spans="1:3">
      <c r="A645" s="8" t="s">
        <v>1495</v>
      </c>
      <c r="B645" s="9" t="s">
        <v>2426</v>
      </c>
      <c r="C645" s="10">
        <v>-0.80466769999999999</v>
      </c>
    </row>
    <row r="646" spans="1:3">
      <c r="A646" s="8" t="s">
        <v>1565</v>
      </c>
      <c r="B646" s="9" t="s">
        <v>2427</v>
      </c>
      <c r="C646" s="10">
        <v>-1.08921</v>
      </c>
    </row>
    <row r="647" spans="1:3">
      <c r="A647" s="8" t="s">
        <v>1549</v>
      </c>
      <c r="B647" s="9" t="s">
        <v>2428</v>
      </c>
      <c r="C647" s="10">
        <v>-1.0365690000000001</v>
      </c>
    </row>
    <row r="648" spans="1:3">
      <c r="A648" s="8" t="s">
        <v>1493</v>
      </c>
      <c r="B648" s="9" t="s">
        <v>2429</v>
      </c>
      <c r="C648" s="10">
        <v>-0.75981319999999997</v>
      </c>
    </row>
    <row r="649" spans="1:3">
      <c r="A649" s="8" t="s">
        <v>1537</v>
      </c>
      <c r="B649" s="9" t="s">
        <v>2430</v>
      </c>
      <c r="C649" s="10">
        <v>-0.9901662</v>
      </c>
    </row>
    <row r="650" spans="1:3">
      <c r="A650" s="8" t="s">
        <v>1559</v>
      </c>
      <c r="B650" s="9" t="s">
        <v>2431</v>
      </c>
      <c r="C650" s="10">
        <v>-1.06734</v>
      </c>
    </row>
    <row r="651" spans="1:3">
      <c r="A651" s="8" t="s">
        <v>1509</v>
      </c>
      <c r="B651" s="9" t="s">
        <v>2432</v>
      </c>
      <c r="C651" s="10">
        <v>-0.87032189999999998</v>
      </c>
    </row>
    <row r="652" spans="1:3">
      <c r="A652" s="8" t="s">
        <v>1505</v>
      </c>
      <c r="B652" s="9" t="s">
        <v>1504</v>
      </c>
      <c r="C652" s="10">
        <v>-0.86755349999999998</v>
      </c>
    </row>
    <row r="653" spans="1:3">
      <c r="A653" s="8" t="s">
        <v>1581</v>
      </c>
      <c r="B653" s="9" t="s">
        <v>2433</v>
      </c>
      <c r="C653" s="10">
        <v>-1.167465</v>
      </c>
    </row>
    <row r="654" spans="1:3">
      <c r="A654" s="8" t="s">
        <v>1543</v>
      </c>
      <c r="B654" s="9" t="s">
        <v>2434</v>
      </c>
      <c r="C654" s="10">
        <v>-1.0091399999999999</v>
      </c>
    </row>
    <row r="655" spans="1:3">
      <c r="A655" s="8" t="s">
        <v>1487</v>
      </c>
      <c r="B655" s="9" t="s">
        <v>2435</v>
      </c>
      <c r="C655" s="10">
        <v>-0.74219769999999996</v>
      </c>
    </row>
    <row r="656" spans="1:3">
      <c r="A656" s="8" t="s">
        <v>1473</v>
      </c>
      <c r="B656" s="9" t="s">
        <v>2436</v>
      </c>
      <c r="C656" s="10">
        <v>-0.61313309999999999</v>
      </c>
    </row>
    <row r="657" spans="1:3">
      <c r="A657" s="8" t="s">
        <v>1607</v>
      </c>
      <c r="B657" s="9" t="s">
        <v>2437</v>
      </c>
      <c r="C657" s="10">
        <v>-1.7403489999999999</v>
      </c>
    </row>
    <row r="658" spans="1:3">
      <c r="A658" s="8" t="s">
        <v>1575</v>
      </c>
      <c r="B658" s="9" t="s">
        <v>2438</v>
      </c>
      <c r="C658" s="10">
        <v>-1.146139</v>
      </c>
    </row>
    <row r="659" spans="1:3">
      <c r="A659" s="8" t="s">
        <v>1489</v>
      </c>
      <c r="B659" s="9" t="s">
        <v>2439</v>
      </c>
      <c r="C659" s="10">
        <v>-0.74265999999999999</v>
      </c>
    </row>
    <row r="660" spans="1:3">
      <c r="A660" s="8" t="s">
        <v>1465</v>
      </c>
      <c r="B660" s="9" t="s">
        <v>2440</v>
      </c>
      <c r="C660" s="10">
        <v>-0.53178970000000003</v>
      </c>
    </row>
    <row r="661" spans="1:3">
      <c r="A661" s="8" t="s">
        <v>1585</v>
      </c>
      <c r="B661" s="9" t="s">
        <v>2441</v>
      </c>
      <c r="C661" s="10">
        <v>-1.1975960000000001</v>
      </c>
    </row>
    <row r="662" spans="1:3">
      <c r="A662" s="8" t="s">
        <v>1541</v>
      </c>
      <c r="B662" s="9" t="s">
        <v>2442</v>
      </c>
      <c r="C662" s="10">
        <v>-1.0024109999999999</v>
      </c>
    </row>
    <row r="663" spans="1:3">
      <c r="A663" s="8" t="s">
        <v>1567</v>
      </c>
      <c r="B663" s="9" t="s">
        <v>2443</v>
      </c>
      <c r="C663" s="10">
        <v>-1.0924860000000001</v>
      </c>
    </row>
    <row r="664" spans="1:3">
      <c r="A664" s="8" t="s">
        <v>1483</v>
      </c>
      <c r="B664" s="9" t="s">
        <v>2444</v>
      </c>
      <c r="C664" s="10">
        <v>-0.72213530000000004</v>
      </c>
    </row>
    <row r="665" spans="1:3">
      <c r="A665" s="8" t="s">
        <v>1515</v>
      </c>
      <c r="B665" s="9" t="s">
        <v>2445</v>
      </c>
      <c r="C665" s="10">
        <v>-0.8999876</v>
      </c>
    </row>
    <row r="666" spans="1:3">
      <c r="A666" s="8" t="s">
        <v>1513</v>
      </c>
      <c r="B666" s="9" t="s">
        <v>2446</v>
      </c>
      <c r="C666" s="10">
        <v>-0.88092380000000003</v>
      </c>
    </row>
    <row r="667" spans="1:3">
      <c r="A667" s="8" t="s">
        <v>1407</v>
      </c>
      <c r="B667" s="9" t="s">
        <v>2447</v>
      </c>
      <c r="C667" s="10">
        <v>0.41079729999999998</v>
      </c>
    </row>
    <row r="668" spans="1:3">
      <c r="A668" s="8" t="s">
        <v>1481</v>
      </c>
      <c r="B668" s="9" t="s">
        <v>2448</v>
      </c>
      <c r="C668" s="10">
        <v>-0.70938809999999997</v>
      </c>
    </row>
    <row r="669" spans="1:3">
      <c r="A669" s="8" t="s">
        <v>1517</v>
      </c>
      <c r="B669" s="9" t="s">
        <v>2449</v>
      </c>
      <c r="C669" s="10">
        <v>-0.90620889999999998</v>
      </c>
    </row>
    <row r="670" spans="1:3">
      <c r="A670" s="8" t="s">
        <v>1555</v>
      </c>
      <c r="B670" s="9" t="s">
        <v>2450</v>
      </c>
      <c r="C670" s="10">
        <v>-1.0543990000000001</v>
      </c>
    </row>
    <row r="671" spans="1:3">
      <c r="A671" s="8" t="s">
        <v>1611</v>
      </c>
      <c r="B671" s="9" t="s">
        <v>2451</v>
      </c>
      <c r="C671" s="10">
        <v>-1.9500630000000001</v>
      </c>
    </row>
    <row r="672" spans="1:3">
      <c r="A672" s="8" t="s">
        <v>1529</v>
      </c>
      <c r="B672" s="9" t="s">
        <v>2452</v>
      </c>
      <c r="C672" s="10">
        <v>-0.96396610000000005</v>
      </c>
    </row>
    <row r="673" spans="1:3">
      <c r="A673" s="8" t="s">
        <v>1539</v>
      </c>
      <c r="B673" s="9" t="s">
        <v>2453</v>
      </c>
      <c r="C673" s="10">
        <v>-0.99091200000000002</v>
      </c>
    </row>
    <row r="674" spans="1:3">
      <c r="A674" s="8" t="s">
        <v>1547</v>
      </c>
      <c r="B674" s="9" t="s">
        <v>2454</v>
      </c>
      <c r="C674" s="10">
        <v>-1.029855</v>
      </c>
    </row>
    <row r="675" spans="1:3">
      <c r="A675" s="8" t="s">
        <v>1471</v>
      </c>
      <c r="B675" s="9" t="s">
        <v>2455</v>
      </c>
      <c r="C675" s="10">
        <v>-0.59872179999999997</v>
      </c>
    </row>
    <row r="676" spans="1:3">
      <c r="A676" s="8" t="s">
        <v>1455</v>
      </c>
      <c r="B676" s="9" t="s">
        <v>2456</v>
      </c>
      <c r="C676" s="10">
        <v>-0.43052679999999999</v>
      </c>
    </row>
    <row r="677" spans="1:3">
      <c r="A677" s="8" t="s">
        <v>1503</v>
      </c>
      <c r="B677" s="9" t="s">
        <v>2457</v>
      </c>
      <c r="C677" s="10">
        <v>-0.86093120000000001</v>
      </c>
    </row>
    <row r="678" spans="1:3">
      <c r="A678" s="8" t="s">
        <v>1545</v>
      </c>
      <c r="B678" s="9" t="s">
        <v>2458</v>
      </c>
      <c r="C678" s="10">
        <v>-1.0229490000000001</v>
      </c>
    </row>
    <row r="679" spans="1:3">
      <c r="A679" s="8" t="s">
        <v>1591</v>
      </c>
      <c r="B679" s="9" t="s">
        <v>2459</v>
      </c>
      <c r="C679" s="10">
        <v>-1.241662</v>
      </c>
    </row>
    <row r="680" spans="1:3">
      <c r="A680" s="8" t="s">
        <v>1601</v>
      </c>
      <c r="B680" s="9" t="s">
        <v>2460</v>
      </c>
      <c r="C680" s="10">
        <v>-1.3929290000000001</v>
      </c>
    </row>
    <row r="681" spans="1:3">
      <c r="A681" s="8" t="s">
        <v>1501</v>
      </c>
      <c r="B681" s="9" t="s">
        <v>2461</v>
      </c>
      <c r="C681" s="10">
        <v>-0.85969249999999997</v>
      </c>
    </row>
    <row r="682" spans="1:3">
      <c r="A682" s="8" t="s">
        <v>1435</v>
      </c>
      <c r="B682" s="9" t="s">
        <v>2462</v>
      </c>
      <c r="C682" s="10">
        <v>-8.3109600000000006E-2</v>
      </c>
    </row>
    <row r="683" spans="1:3">
      <c r="A683" s="8" t="s">
        <v>1597</v>
      </c>
      <c r="B683" s="9" t="s">
        <v>1596</v>
      </c>
      <c r="C683" s="10">
        <v>-1.3137350000000001</v>
      </c>
    </row>
    <row r="684" spans="1:3">
      <c r="A684" s="8" t="s">
        <v>1599</v>
      </c>
      <c r="B684" s="9" t="s">
        <v>2463</v>
      </c>
      <c r="C684" s="10">
        <v>-1.3274889999999999</v>
      </c>
    </row>
    <row r="685" spans="1:3">
      <c r="A685" s="8" t="s">
        <v>1587</v>
      </c>
      <c r="B685" s="9" t="s">
        <v>2464</v>
      </c>
      <c r="C685" s="10">
        <v>-1.197727</v>
      </c>
    </row>
    <row r="686" spans="1:3">
      <c r="A686" s="8" t="s">
        <v>1485</v>
      </c>
      <c r="B686" s="9" t="s">
        <v>2465</v>
      </c>
      <c r="C686" s="10">
        <v>-0.7278869</v>
      </c>
    </row>
    <row r="687" spans="1:3">
      <c r="A687" s="8" t="s">
        <v>1557</v>
      </c>
      <c r="B687" s="9" t="s">
        <v>2466</v>
      </c>
      <c r="C687" s="10">
        <v>-1.0578970000000001</v>
      </c>
    </row>
    <row r="688" spans="1:3">
      <c r="A688" s="8" t="s">
        <v>1579</v>
      </c>
      <c r="B688" s="9" t="s">
        <v>2467</v>
      </c>
      <c r="C688" s="10">
        <v>-1.1650309999999999</v>
      </c>
    </row>
    <row r="689" spans="1:3">
      <c r="A689" s="8" t="s">
        <v>1571</v>
      </c>
      <c r="B689" s="9" t="s">
        <v>2468</v>
      </c>
      <c r="C689" s="10">
        <v>-1.1303570000000001</v>
      </c>
    </row>
    <row r="690" spans="1:3">
      <c r="A690" s="8" t="s">
        <v>1402</v>
      </c>
      <c r="B690" s="9" t="s">
        <v>2469</v>
      </c>
      <c r="C690" s="10">
        <v>0.77053020000000005</v>
      </c>
    </row>
    <row r="691" spans="1:3">
      <c r="A691" s="8" t="s">
        <v>1405</v>
      </c>
      <c r="B691" s="9" t="s">
        <v>2470</v>
      </c>
      <c r="C691" s="10">
        <v>0.50122140000000004</v>
      </c>
    </row>
    <row r="692" spans="1:3">
      <c r="A692" s="8" t="s">
        <v>1443</v>
      </c>
      <c r="B692" s="9" t="s">
        <v>2471</v>
      </c>
      <c r="C692" s="10">
        <v>-0.34827789999999997</v>
      </c>
    </row>
    <row r="693" spans="1:3">
      <c r="A693" s="8" t="s">
        <v>1461</v>
      </c>
      <c r="B693" s="9" t="s">
        <v>2472</v>
      </c>
      <c r="C693" s="10">
        <v>-0.50324959999999996</v>
      </c>
    </row>
    <row r="694" spans="1:3">
      <c r="A694" s="8" t="s">
        <v>1457</v>
      </c>
      <c r="B694" s="9" t="s">
        <v>2473</v>
      </c>
      <c r="C694" s="10">
        <v>-0.44501000000000002</v>
      </c>
    </row>
    <row r="695" spans="1:3">
      <c r="A695" s="8" t="s">
        <v>1451</v>
      </c>
      <c r="B695" s="9" t="s">
        <v>2474</v>
      </c>
      <c r="C695" s="10">
        <v>-0.38312819999999997</v>
      </c>
    </row>
    <row r="696" spans="1:3">
      <c r="A696" s="8" t="s">
        <v>1441</v>
      </c>
      <c r="B696" s="9" t="s">
        <v>2475</v>
      </c>
      <c r="C696" s="10">
        <v>-0.29820819999999998</v>
      </c>
    </row>
    <row r="697" spans="1:3">
      <c r="A697" s="8" t="s">
        <v>1447</v>
      </c>
      <c r="B697" s="9" t="s">
        <v>2476</v>
      </c>
      <c r="C697" s="10">
        <v>-0.37003599999999998</v>
      </c>
    </row>
    <row r="698" spans="1:3">
      <c r="A698" s="8" t="s">
        <v>1479</v>
      </c>
      <c r="B698" s="9" t="s">
        <v>2477</v>
      </c>
      <c r="C698" s="10">
        <v>-0.67023869999999997</v>
      </c>
    </row>
    <row r="699" spans="1:3">
      <c r="A699" s="8" t="s">
        <v>1463</v>
      </c>
      <c r="B699" s="9" t="s">
        <v>2478</v>
      </c>
      <c r="C699" s="10">
        <v>-0.511521</v>
      </c>
    </row>
    <row r="700" spans="1:3">
      <c r="A700" s="8" t="s">
        <v>1519</v>
      </c>
      <c r="B700" s="9" t="s">
        <v>2479</v>
      </c>
      <c r="C700" s="10">
        <v>-0.93791409999999997</v>
      </c>
    </row>
    <row r="701" spans="1:3">
      <c r="A701" s="8" t="s">
        <v>1553</v>
      </c>
      <c r="B701" s="9" t="s">
        <v>2480</v>
      </c>
      <c r="C701" s="10">
        <v>-1.0434760000000001</v>
      </c>
    </row>
    <row r="702" spans="1:3">
      <c r="A702" s="8" t="s">
        <v>1577</v>
      </c>
      <c r="B702" s="9" t="s">
        <v>2481</v>
      </c>
      <c r="C702" s="10">
        <v>-1.1465240000000001</v>
      </c>
    </row>
    <row r="703" spans="1:3">
      <c r="A703" s="8" t="s">
        <v>1497</v>
      </c>
      <c r="B703" s="9" t="s">
        <v>2482</v>
      </c>
      <c r="C703" s="10">
        <v>-0.81966399999999995</v>
      </c>
    </row>
    <row r="704" spans="1:3">
      <c r="A704" s="8" t="s">
        <v>1521</v>
      </c>
      <c r="B704" s="9" t="s">
        <v>2483</v>
      </c>
      <c r="C704" s="10">
        <v>-0.94798389999999999</v>
      </c>
    </row>
    <row r="705" spans="1:3">
      <c r="A705" s="8" t="s">
        <v>1563</v>
      </c>
      <c r="B705" s="9" t="s">
        <v>2484</v>
      </c>
      <c r="C705" s="10">
        <v>-1.0792820000000001</v>
      </c>
    </row>
    <row r="706" spans="1:3">
      <c r="A706" s="8" t="s">
        <v>1551</v>
      </c>
      <c r="B706" s="9" t="s">
        <v>2485</v>
      </c>
      <c r="C706" s="10">
        <v>-1.042151</v>
      </c>
    </row>
    <row r="707" spans="1:3">
      <c r="A707" s="8" t="s">
        <v>1525</v>
      </c>
      <c r="B707" s="9" t="s">
        <v>2486</v>
      </c>
      <c r="C707" s="10">
        <v>-0.95823460000000005</v>
      </c>
    </row>
    <row r="708" spans="1:3">
      <c r="A708" s="8" t="s">
        <v>1433</v>
      </c>
      <c r="B708" s="9" t="s">
        <v>2487</v>
      </c>
      <c r="C708" s="10">
        <v>-2.9339500000000001E-2</v>
      </c>
    </row>
    <row r="709" spans="1:3">
      <c r="A709" s="8" t="s">
        <v>1439</v>
      </c>
      <c r="B709" s="9" t="s">
        <v>2488</v>
      </c>
      <c r="C709" s="10">
        <v>-0.15601970000000001</v>
      </c>
    </row>
    <row r="710" spans="1:3">
      <c r="A710" s="8" t="s">
        <v>1409</v>
      </c>
      <c r="B710" s="9" t="s">
        <v>2489</v>
      </c>
      <c r="C710" s="10">
        <v>1.3205999999999999E-3</v>
      </c>
    </row>
    <row r="711" spans="1:3">
      <c r="A711" s="8" t="s">
        <v>1459</v>
      </c>
      <c r="B711" s="9" t="s">
        <v>2490</v>
      </c>
      <c r="C711" s="10">
        <v>-0.4949538</v>
      </c>
    </row>
    <row r="712" spans="1:3">
      <c r="A712" s="8" t="s">
        <v>1469</v>
      </c>
      <c r="B712" s="9" t="s">
        <v>2491</v>
      </c>
      <c r="C712" s="10">
        <v>-0.59667590000000004</v>
      </c>
    </row>
    <row r="713" spans="1:3">
      <c r="A713" s="8" t="s">
        <v>1535</v>
      </c>
      <c r="B713" s="9" t="s">
        <v>2492</v>
      </c>
      <c r="C713" s="10">
        <v>-0.97860800000000003</v>
      </c>
    </row>
    <row r="714" spans="1:3">
      <c r="A714" s="8" t="s">
        <v>2493</v>
      </c>
      <c r="B714" s="9" t="s">
        <v>2494</v>
      </c>
      <c r="C714" s="10">
        <v>-1.1213310000000001</v>
      </c>
    </row>
    <row r="715" spans="1:3">
      <c r="A715" s="8" t="s">
        <v>2495</v>
      </c>
      <c r="B715" s="9" t="s">
        <v>2496</v>
      </c>
      <c r="C715" s="10">
        <v>-1.4475530000000001</v>
      </c>
    </row>
    <row r="716" spans="1:3">
      <c r="A716" s="8" t="s">
        <v>1531</v>
      </c>
      <c r="B716" s="9" t="s">
        <v>2497</v>
      </c>
      <c r="C716" s="10">
        <v>-0.9705587</v>
      </c>
    </row>
    <row r="717" spans="1:3">
      <c r="A717" s="8" t="s">
        <v>1475</v>
      </c>
      <c r="B717" s="9" t="s">
        <v>2498</v>
      </c>
      <c r="C717" s="10">
        <v>-0.6372312</v>
      </c>
    </row>
    <row r="718" spans="1:3">
      <c r="A718" s="8" t="s">
        <v>1445</v>
      </c>
      <c r="B718" s="9" t="s">
        <v>2499</v>
      </c>
      <c r="C718" s="10">
        <v>-0.36158059999999997</v>
      </c>
    </row>
    <row r="719" spans="1:3">
      <c r="A719" s="8" t="s">
        <v>1595</v>
      </c>
      <c r="B719" s="9" t="s">
        <v>2500</v>
      </c>
      <c r="C719" s="10">
        <v>-1.311418</v>
      </c>
    </row>
    <row r="720" spans="1:3">
      <c r="A720" s="8" t="s">
        <v>1573</v>
      </c>
      <c r="B720" s="9" t="s">
        <v>2501</v>
      </c>
      <c r="C720" s="10">
        <v>-1.141885</v>
      </c>
    </row>
    <row r="721" spans="1:3">
      <c r="A721" s="8" t="s">
        <v>1527</v>
      </c>
      <c r="B721" s="9" t="s">
        <v>2502</v>
      </c>
      <c r="C721" s="10">
        <v>-0.96049519999999999</v>
      </c>
    </row>
    <row r="722" spans="1:3">
      <c r="A722" s="8" t="s">
        <v>1477</v>
      </c>
      <c r="B722" s="9" t="s">
        <v>2503</v>
      </c>
      <c r="C722" s="10">
        <v>-0.63952260000000005</v>
      </c>
    </row>
    <row r="723" spans="1:3">
      <c r="A723" s="8" t="s">
        <v>1583</v>
      </c>
      <c r="B723" s="9" t="s">
        <v>2504</v>
      </c>
      <c r="C723" s="10">
        <v>-1.183408</v>
      </c>
    </row>
    <row r="724" spans="1:3">
      <c r="A724" s="8" t="s">
        <v>1511</v>
      </c>
      <c r="B724" s="9" t="s">
        <v>2505</v>
      </c>
      <c r="C724" s="10">
        <v>-0.8740445</v>
      </c>
    </row>
    <row r="725" spans="1:3">
      <c r="A725" s="8" t="s">
        <v>1605</v>
      </c>
      <c r="B725" s="9" t="s">
        <v>2506</v>
      </c>
      <c r="C725" s="10">
        <v>-1.6109150000000001</v>
      </c>
    </row>
    <row r="726" spans="1:3">
      <c r="A726" s="8" t="s">
        <v>1603</v>
      </c>
      <c r="B726" s="9" t="s">
        <v>2507</v>
      </c>
      <c r="C726" s="10">
        <v>-1.4113039999999999</v>
      </c>
    </row>
    <row r="727" spans="1:3">
      <c r="A727" s="8" t="s">
        <v>1593</v>
      </c>
      <c r="B727" s="9" t="s">
        <v>2508</v>
      </c>
      <c r="C727" s="10">
        <v>-1.290964</v>
      </c>
    </row>
    <row r="728" spans="1:3">
      <c r="A728" s="8" t="s">
        <v>2509</v>
      </c>
      <c r="B728" s="9" t="s">
        <v>2510</v>
      </c>
      <c r="C728" s="10">
        <v>-0.70919019999999999</v>
      </c>
    </row>
    <row r="729" spans="1:3">
      <c r="A729" s="8" t="s">
        <v>2511</v>
      </c>
      <c r="B729" s="9" t="s">
        <v>2512</v>
      </c>
      <c r="C729" s="10">
        <v>0.1160332</v>
      </c>
    </row>
    <row r="730" spans="1:3">
      <c r="A730" s="8" t="s">
        <v>2513</v>
      </c>
      <c r="B730" s="9" t="s">
        <v>2514</v>
      </c>
      <c r="C730" s="10">
        <v>0.14662449999999999</v>
      </c>
    </row>
    <row r="731" spans="1:3">
      <c r="A731" s="8" t="s">
        <v>1650</v>
      </c>
      <c r="B731" s="9" t="s">
        <v>2515</v>
      </c>
      <c r="C731" s="10">
        <v>-0.20706260000000001</v>
      </c>
    </row>
    <row r="732" spans="1:3">
      <c r="A732" s="8" t="s">
        <v>1646</v>
      </c>
      <c r="B732" s="9" t="s">
        <v>2516</v>
      </c>
      <c r="C732" s="10">
        <v>-0.18173320000000001</v>
      </c>
    </row>
    <row r="733" spans="1:3">
      <c r="A733" s="8" t="s">
        <v>1613</v>
      </c>
      <c r="B733" s="9" t="s">
        <v>2517</v>
      </c>
      <c r="C733" s="10">
        <v>1.152798</v>
      </c>
    </row>
    <row r="734" spans="1:3">
      <c r="A734" s="8" t="s">
        <v>1616</v>
      </c>
      <c r="B734" s="9" t="s">
        <v>2518</v>
      </c>
      <c r="C734" s="10">
        <v>0.4845738</v>
      </c>
    </row>
    <row r="735" spans="1:3">
      <c r="A735" s="8" t="s">
        <v>1672</v>
      </c>
      <c r="B735" s="9" t="s">
        <v>2519</v>
      </c>
      <c r="C735" s="10">
        <v>-0.76211830000000003</v>
      </c>
    </row>
    <row r="736" spans="1:3">
      <c r="A736" s="8" t="s">
        <v>1674</v>
      </c>
      <c r="B736" s="9" t="s">
        <v>2520</v>
      </c>
      <c r="C736" s="10">
        <v>-0.82987029999999995</v>
      </c>
    </row>
    <row r="737" spans="1:3">
      <c r="A737" s="8" t="s">
        <v>2521</v>
      </c>
      <c r="B737" s="9" t="s">
        <v>2522</v>
      </c>
      <c r="C737" s="10">
        <v>-0.60545300000000002</v>
      </c>
    </row>
    <row r="738" spans="1:3">
      <c r="A738" s="8" t="s">
        <v>2523</v>
      </c>
      <c r="B738" s="9" t="s">
        <v>2524</v>
      </c>
      <c r="C738" s="10">
        <v>-0.29770459999999999</v>
      </c>
    </row>
    <row r="739" spans="1:3">
      <c r="A739" s="8" t="s">
        <v>1668</v>
      </c>
      <c r="B739" s="9" t="s">
        <v>2525</v>
      </c>
      <c r="C739" s="10">
        <v>-0.72930870000000003</v>
      </c>
    </row>
    <row r="740" spans="1:3">
      <c r="A740" s="8" t="s">
        <v>1696</v>
      </c>
      <c r="B740" s="9" t="s">
        <v>2526</v>
      </c>
      <c r="C740" s="10">
        <v>-1.149057</v>
      </c>
    </row>
    <row r="741" spans="1:3">
      <c r="A741" s="8" t="s">
        <v>1694</v>
      </c>
      <c r="B741" s="9" t="s">
        <v>2527</v>
      </c>
      <c r="C741" s="10">
        <v>-1.120501</v>
      </c>
    </row>
    <row r="742" spans="1:3">
      <c r="A742" s="8" t="s">
        <v>2528</v>
      </c>
      <c r="B742" s="9" t="s">
        <v>2529</v>
      </c>
      <c r="C742" s="10">
        <v>-0.6322603</v>
      </c>
    </row>
    <row r="743" spans="1:3">
      <c r="A743" s="8" t="s">
        <v>1658</v>
      </c>
      <c r="B743" s="9" t="s">
        <v>2530</v>
      </c>
      <c r="C743" s="10">
        <v>-0.49774030000000002</v>
      </c>
    </row>
    <row r="744" spans="1:3">
      <c r="A744" s="8" t="s">
        <v>2531</v>
      </c>
      <c r="B744" s="9" t="s">
        <v>2532</v>
      </c>
      <c r="C744" s="10">
        <v>-0.77107099999999995</v>
      </c>
    </row>
    <row r="745" spans="1:3">
      <c r="A745" s="8" t="s">
        <v>1676</v>
      </c>
      <c r="B745" s="9" t="s">
        <v>2533</v>
      </c>
      <c r="C745" s="10">
        <v>-0.83209069999999996</v>
      </c>
    </row>
    <row r="746" spans="1:3">
      <c r="A746" s="8" t="s">
        <v>2534</v>
      </c>
      <c r="B746" s="9" t="s">
        <v>2535</v>
      </c>
      <c r="C746" s="10">
        <v>-1.2176469999999999</v>
      </c>
    </row>
    <row r="747" spans="1:3">
      <c r="A747" s="8" t="s">
        <v>1656</v>
      </c>
      <c r="B747" s="9" t="s">
        <v>2536</v>
      </c>
      <c r="C747" s="10">
        <v>-0.4662731</v>
      </c>
    </row>
    <row r="748" spans="1:3">
      <c r="A748" s="8" t="s">
        <v>1662</v>
      </c>
      <c r="B748" s="9" t="s">
        <v>2537</v>
      </c>
      <c r="C748" s="10">
        <v>-0.6155429</v>
      </c>
    </row>
    <row r="749" spans="1:3">
      <c r="A749" s="8" t="s">
        <v>1698</v>
      </c>
      <c r="B749" s="9" t="s">
        <v>2538</v>
      </c>
      <c r="C749" s="10">
        <v>-1.1500010000000001</v>
      </c>
    </row>
    <row r="750" spans="1:3">
      <c r="A750" s="8" t="s">
        <v>1654</v>
      </c>
      <c r="B750" s="9" t="s">
        <v>2539</v>
      </c>
      <c r="C750" s="10">
        <v>-0.42818679999999998</v>
      </c>
    </row>
    <row r="751" spans="1:3">
      <c r="A751" s="8" t="s">
        <v>1682</v>
      </c>
      <c r="B751" s="9" t="s">
        <v>2540</v>
      </c>
      <c r="C751" s="10">
        <v>-0.88711859999999998</v>
      </c>
    </row>
    <row r="752" spans="1:3">
      <c r="A752" s="8" t="s">
        <v>1660</v>
      </c>
      <c r="B752" s="9" t="s">
        <v>2541</v>
      </c>
      <c r="C752" s="10">
        <v>-0.52649509999999999</v>
      </c>
    </row>
    <row r="753" spans="1:3">
      <c r="A753" s="8" t="s">
        <v>1664</v>
      </c>
      <c r="B753" s="9" t="s">
        <v>2542</v>
      </c>
      <c r="C753" s="10">
        <v>-0.63221590000000005</v>
      </c>
    </row>
    <row r="754" spans="1:3">
      <c r="A754" s="8" t="s">
        <v>1678</v>
      </c>
      <c r="B754" s="9" t="s">
        <v>2543</v>
      </c>
      <c r="C754" s="10">
        <v>-0.8353891</v>
      </c>
    </row>
    <row r="755" spans="1:3">
      <c r="A755" s="8" t="s">
        <v>1700</v>
      </c>
      <c r="B755" s="9" t="s">
        <v>2544</v>
      </c>
      <c r="C755" s="10">
        <v>-1.221489</v>
      </c>
    </row>
    <row r="756" spans="1:3">
      <c r="A756" s="8" t="s">
        <v>1618</v>
      </c>
      <c r="B756" s="9" t="s">
        <v>2545</v>
      </c>
      <c r="C756" s="10">
        <v>0.39958719999999998</v>
      </c>
    </row>
    <row r="757" spans="1:3">
      <c r="A757" s="8" t="s">
        <v>1648</v>
      </c>
      <c r="B757" s="9" t="s">
        <v>2546</v>
      </c>
      <c r="C757" s="10">
        <v>-0.18376000000000001</v>
      </c>
    </row>
    <row r="758" spans="1:3">
      <c r="A758" s="8" t="s">
        <v>1652</v>
      </c>
      <c r="B758" s="9" t="s">
        <v>2547</v>
      </c>
      <c r="C758" s="10">
        <v>-0.37522489999999997</v>
      </c>
    </row>
    <row r="759" spans="1:3">
      <c r="A759" s="8" t="s">
        <v>1670</v>
      </c>
      <c r="B759" s="9" t="s">
        <v>2548</v>
      </c>
      <c r="C759" s="10">
        <v>-0.75544319999999998</v>
      </c>
    </row>
    <row r="760" spans="1:3">
      <c r="A760" s="8" t="s">
        <v>1688</v>
      </c>
      <c r="B760" s="9" t="s">
        <v>2549</v>
      </c>
      <c r="C760" s="10">
        <v>-1.030619</v>
      </c>
    </row>
    <row r="761" spans="1:3">
      <c r="A761" s="8" t="s">
        <v>1686</v>
      </c>
      <c r="B761" s="9" t="s">
        <v>2550</v>
      </c>
      <c r="C761" s="10">
        <v>-1.016648</v>
      </c>
    </row>
    <row r="762" spans="1:3">
      <c r="A762" s="8" t="s">
        <v>2551</v>
      </c>
      <c r="B762" s="9" t="s">
        <v>2552</v>
      </c>
      <c r="C762" s="10">
        <v>-1.1443559999999999</v>
      </c>
    </row>
    <row r="763" spans="1:3">
      <c r="A763" s="8" t="s">
        <v>2553</v>
      </c>
      <c r="B763" s="9" t="s">
        <v>2554</v>
      </c>
      <c r="C763" s="10">
        <v>-1.262688</v>
      </c>
    </row>
    <row r="764" spans="1:3">
      <c r="A764" s="8" t="s">
        <v>1684</v>
      </c>
      <c r="B764" s="9" t="s">
        <v>2555</v>
      </c>
      <c r="C764" s="10">
        <v>-0.97819970000000001</v>
      </c>
    </row>
    <row r="765" spans="1:3">
      <c r="A765" s="8" t="s">
        <v>1706</v>
      </c>
      <c r="B765" s="9" t="s">
        <v>2556</v>
      </c>
      <c r="C765" s="10">
        <v>-1.39869</v>
      </c>
    </row>
    <row r="766" spans="1:3">
      <c r="A766" s="8" t="s">
        <v>1710</v>
      </c>
      <c r="B766" s="9" t="s">
        <v>2557</v>
      </c>
      <c r="C766" s="10">
        <v>-1.6298969999999999</v>
      </c>
    </row>
    <row r="767" spans="1:3">
      <c r="A767" s="8" t="s">
        <v>1712</v>
      </c>
      <c r="B767" s="9" t="s">
        <v>2558</v>
      </c>
      <c r="C767" s="10">
        <v>-1.7091829999999999</v>
      </c>
    </row>
    <row r="768" spans="1:3">
      <c r="A768" s="8" t="s">
        <v>1690</v>
      </c>
      <c r="B768" s="9" t="s">
        <v>2559</v>
      </c>
      <c r="C768" s="10">
        <v>-1.0374129999999999</v>
      </c>
    </row>
    <row r="769" spans="1:3">
      <c r="A769" s="8" t="s">
        <v>1708</v>
      </c>
      <c r="B769" s="9" t="s">
        <v>2560</v>
      </c>
      <c r="C769" s="10">
        <v>-1.51362</v>
      </c>
    </row>
    <row r="770" spans="1:3">
      <c r="A770" s="8" t="s">
        <v>1666</v>
      </c>
      <c r="B770" s="9" t="s">
        <v>2561</v>
      </c>
      <c r="C770" s="10">
        <v>-0.69099920000000004</v>
      </c>
    </row>
    <row r="771" spans="1:3">
      <c r="A771" s="8" t="s">
        <v>1680</v>
      </c>
      <c r="B771" s="9" t="s">
        <v>2562</v>
      </c>
      <c r="C771" s="10">
        <v>-0.84229270000000001</v>
      </c>
    </row>
    <row r="772" spans="1:3">
      <c r="A772" s="8" t="s">
        <v>1692</v>
      </c>
      <c r="B772" s="9" t="s">
        <v>2563</v>
      </c>
      <c r="C772" s="10">
        <v>-1.091197</v>
      </c>
    </row>
    <row r="773" spans="1:3">
      <c r="A773" s="8" t="s">
        <v>1702</v>
      </c>
      <c r="B773" s="9" t="s">
        <v>2564</v>
      </c>
      <c r="C773" s="10">
        <v>-1.2833730000000001</v>
      </c>
    </row>
    <row r="774" spans="1:3">
      <c r="A774" s="8" t="s">
        <v>2565</v>
      </c>
      <c r="B774" s="9" t="s">
        <v>2566</v>
      </c>
      <c r="C774" s="10">
        <v>-1.351998</v>
      </c>
    </row>
    <row r="775" spans="1:3">
      <c r="A775" s="11" t="s">
        <v>1704</v>
      </c>
      <c r="B775" s="12" t="s">
        <v>2567</v>
      </c>
      <c r="C775" s="13">
        <v>-1.3877600000000001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2026-09-01T18:55:33Z</dcterms:created>
  <dcterms:modified xsi:type="dcterms:W3CDTF">2026-10-16T15:37:01Z</dcterms:modified>
  <cp:category/>
  <cp:contentStatus/>
</cp:coreProperties>
</file>